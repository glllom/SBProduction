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7ED77828-3BDE-4CCD-AFB8-0BF40BD806F6}" xr6:coauthVersionLast="47" xr6:coauthVersionMax="47" xr10:uidLastSave="{00000000-0000-0000-0000-000000000000}"/>
  <bookViews>
    <workbookView xWindow="-98" yWindow="-98" windowWidth="21795" windowHeight="11625" tabRatio="747" firstSheet="6" activeTab="7" xr2:uid="{EAF69DBF-086B-4B7E-B77A-D8D769677810}"/>
  </bookViews>
  <sheets>
    <sheet name="BRAGA" sheetId="1" state="hidden" r:id="rId1"/>
    <sheet name="OTLAV" sheetId="4" state="hidden" r:id="rId2"/>
    <sheet name="Surerland_Alnyanli" sheetId="6" state="hidden" r:id="rId3"/>
    <sheet name="MERINO" sheetId="7" state="hidden" r:id="rId4"/>
    <sheet name="types" sheetId="18" r:id="rId5"/>
    <sheet name="products_families" sheetId="19" r:id="rId6"/>
    <sheet name="Series" sheetId="23" r:id="rId7"/>
    <sheet name="Models" sheetId="10" r:id="rId8"/>
    <sheet name="sheet_material" sheetId="12" r:id="rId9"/>
    <sheet name="ProductStages" sheetId="22" r:id="rId10"/>
    <sheet name="line_material" sheetId="13" r:id="rId11"/>
    <sheet name="hardware" sheetId="14" r:id="rId12"/>
    <sheet name="Front" sheetId="15" r:id="rId13"/>
    <sheet name="Customizers" sheetId="20" r:id="rId14"/>
    <sheet name="Component Changers" sheetId="21" r:id="rId15"/>
    <sheet name="משפחות מוצר" sheetId="3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0" l="1"/>
  <c r="C66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2" i="10"/>
  <c r="G6" i="13"/>
  <c r="G5" i="13"/>
</calcChain>
</file>

<file path=xl/sharedStrings.xml><?xml version="1.0" encoding="utf-8"?>
<sst xmlns="http://schemas.openxmlformats.org/spreadsheetml/2006/main" count="844" uniqueCount="590">
  <si>
    <t>BRAGA ITEM CODE</t>
  </si>
  <si>
    <t>DESCRIPTION</t>
  </si>
  <si>
    <t>CLU_81090120....N2150P</t>
  </si>
  <si>
    <t>COVERWIRE WHITE B011 90 12 NO WING 2150 (MULTILAYER) - FLAT SHAPE</t>
  </si>
  <si>
    <t>CLU_81090120....N2250P</t>
  </si>
  <si>
    <t>COVERWIRE WHITE B011 90 12 NO WING 2250 (MULTILAYER) - FLAT SHAPE</t>
  </si>
  <si>
    <t>CLU_81090120…N2500P</t>
  </si>
  <si>
    <t>COVERWIRE WHITE B011 90 12 NO WING 2500 (MULTILAYER) - FLAT SHAPE</t>
  </si>
  <si>
    <t>CLU_81090120…N3020P</t>
  </si>
  <si>
    <t>COVERWIRE WHITE B011 90 12 NO WING 3020 (MULTILAYER) - FLAT SHAPE</t>
  </si>
  <si>
    <t>CLU_81090100....N2150P</t>
  </si>
  <si>
    <t>COVERWIRE WHITE B011 90 10 NO WING 2150 (MULTILAYER) - FLAT SHAPE</t>
  </si>
  <si>
    <t>CLU_81090100....N2250P</t>
  </si>
  <si>
    <t>COVERWIRE WHITE B011 90 10 NO WING 2250 (MULTILAYER) - FLAT SHAPE</t>
  </si>
  <si>
    <t>CLU_81090120....F2440P</t>
  </si>
  <si>
    <t>COVERWIRE FILO FILO WHITE B011 90 12 NO WING 2440 (MULTILAYER)</t>
  </si>
  <si>
    <t>CLU_81090120....F3020P</t>
  </si>
  <si>
    <t>COVERWIRE FILO FILO WHITE B011 90 12 NO WING 3020 (MULTILAYER)</t>
  </si>
  <si>
    <t>CLU_810901002033N2150P</t>
  </si>
  <si>
    <t>COVERWIRE WHITE B011 90 10 WING 20 2150 (MULTILAYER)</t>
  </si>
  <si>
    <t>CLU_810901002033N2250P</t>
  </si>
  <si>
    <t>COVERWIRE WHITE B011 90 10 WING 20 2250 (MULTILAYER)</t>
  </si>
  <si>
    <t>CLU_810901002033N2500P</t>
  </si>
  <si>
    <t>COVERWIRE WHITE B011 90 10 WING 20 2500 (MULTILAYER)</t>
  </si>
  <si>
    <t>CLU_810901002033N3020P</t>
  </si>
  <si>
    <t>COVERWIRE WHITE B011 90 10 WING 20 3020 (MULTILAYER)</t>
  </si>
  <si>
    <t>CLU_810901003033N2150P</t>
  </si>
  <si>
    <t>COVERWIRE WHITE B011 90 10 WING 30 2150 (MULTILAYER)</t>
  </si>
  <si>
    <t>CLU_810901003033N2250P</t>
  </si>
  <si>
    <t>COVERWIRE WHITE B011 90 10 WING 30 2250 (MULTILAYER)</t>
  </si>
  <si>
    <t>CLU_810901003033N2500P</t>
  </si>
  <si>
    <t>COVERWIRE WHITE B011 90 10 WING 30 2500 (MULTILAYER)</t>
  </si>
  <si>
    <t>CLU_810901003033N3020P</t>
  </si>
  <si>
    <t>COVERWIRE WHITE B011 90 10 WING 30 3020 (MULTILAYER)</t>
  </si>
  <si>
    <t>CLU_810701003033N2150P</t>
  </si>
  <si>
    <t>COVERWIRE WHITE B011 70 10 WING 30 2150 (MULTILAYER)</t>
  </si>
  <si>
    <t>CLU_810701003033N2250P</t>
  </si>
  <si>
    <t>COVERWIRE WHITE B011 70 10 WING 30 2250 (MULTILAYER)</t>
  </si>
  <si>
    <t>CLU_810701003033N2500P</t>
  </si>
  <si>
    <t>COVERWIRE WHITE B011 70 10 WING 30 2500 (MULTILAYER)</t>
  </si>
  <si>
    <t>CLU_810701003033N3020P</t>
  </si>
  <si>
    <t>COVERWIRE WHITE B011 70 10 WING 30 3020 (MULTILAYER)</t>
  </si>
  <si>
    <t>CLU_810701004033N2500P</t>
  </si>
  <si>
    <t>COVERWIRE WHITE B011 70 10 WING 40 2500 (MULTILAYER)</t>
  </si>
  <si>
    <t>CLU_810701004033N3020P</t>
  </si>
  <si>
    <t>COVERWIRE WHITE B011 70 10 WING 40 3020 (MULTILAYER)</t>
  </si>
  <si>
    <t>CLU_810902002533N2500P</t>
  </si>
  <si>
    <t>COVERWIRE WHITE B011 90 20 WING 25 2500 (MULTILAYER)</t>
  </si>
  <si>
    <t>CLU_810902002533N3020P</t>
  </si>
  <si>
    <t>COVERWIRE WHITE B011 90 20 WING 25 3020 (MULTILAYER)</t>
  </si>
  <si>
    <t>CLU_810901401833N2500P</t>
  </si>
  <si>
    <t>COVERWIRE "BAROCCO" WHITE B011 90 14 WING 18 2500 (MULTILAYER)</t>
  </si>
  <si>
    <t>CLU_810901401833N3020P</t>
  </si>
  <si>
    <t>COVERWIRE "BAROCCO" WHITE B011 90 14 WING 18 3020 (MULTILAYER)</t>
  </si>
  <si>
    <t>CPU_CAB0902002533B2150P</t>
  </si>
  <si>
    <t>COVERWIRE WHITE PAPER 90 20 WING 25 2150 (MULTILAYER) - L SHAPE</t>
  </si>
  <si>
    <t>CPU_CAB0902002533B2250P</t>
  </si>
  <si>
    <t>COVERWIRE WHITE PAPER 90 20 WING 25 2250 (MULTILAYER) - L SHAPE</t>
  </si>
  <si>
    <t>CPU_CAB0902002533B2500P</t>
  </si>
  <si>
    <t>COVERWIRE WHITE PAPER 90 20 WING 25 2500 (MULTILAYER) - L SHAPE</t>
  </si>
  <si>
    <t>CPU_CAB0902002533B3050P</t>
  </si>
  <si>
    <t>COVERWIRE WHITE PAPER 90 20 WING 25 3050 (MULTILAYER) - L SHAPE</t>
  </si>
  <si>
    <t>CPU_CAB090200....P2150P</t>
  </si>
  <si>
    <t>COVERWIRE WHITE PAPER 90 20 NO WING 2150 (MULTILAYER) - lLSHAPE</t>
  </si>
  <si>
    <t>CPU_CAB090200....P2250P</t>
  </si>
  <si>
    <t>COVERWIRE WHITE PAPER 90 20 NO WING 2250 (MULTILAYER) - lLSHAPE</t>
  </si>
  <si>
    <t>CPU_CAB090200....P2500P</t>
  </si>
  <si>
    <t>COVERWIRE WHITE PAPER 90 20 NO WING 2500 (MULTILAYER) - lLSHAPE</t>
  </si>
  <si>
    <t>CPU_CAB090200....P3020P</t>
  </si>
  <si>
    <t>COVERWIRE WHITE PAPER 90 20 NO WING 3020 (MULTILAYER) - lLSHAPE</t>
  </si>
  <si>
    <t>SLN_8103400100285100OCBP2080A</t>
  </si>
  <si>
    <t>FRAME R3 WHITE B011 40 100 2080 (BLOCKBOARD) dr. 222 (28,5x10) + white Schlegel rubber installed</t>
  </si>
  <si>
    <t>SLN_8103400100285100OCBP2170A</t>
  </si>
  <si>
    <t>FRAME R3 WHITE B011 40 100 2170 (BLOCKBOARD) dr. 222 (28,5x10) + white Schlegel rubber installed</t>
  </si>
  <si>
    <t>SLN_8103400100285100OCBP2440A</t>
  </si>
  <si>
    <t>FRAME R3 WHITE B011 40 100 2440 (BLOCKBOARD) dr. 222 (28,5x10) + white Schlegel rubber installed</t>
  </si>
  <si>
    <t>SLN_8103400100285100OCBP3050A</t>
  </si>
  <si>
    <t>FRAME R3 WHITE B011 40 100 3050(BLOCKBOARD) dr. 222 (28,5x10) + white Schlegel rubber installed</t>
  </si>
  <si>
    <t>* from cm 12 to cm 28 the same article and description</t>
  </si>
  <si>
    <t>SLN_8103400100465100OCBP2080A</t>
  </si>
  <si>
    <t xml:space="preserve">DOOR FRAME R3 WHITE B011 40 100 2080- REBATE: 46,5X10 (BLOCKBOARD) dr. 222 (46,5x10) No rubber/no cut edges </t>
  </si>
  <si>
    <t>SLN_8103400120465100OCBP2170A</t>
  </si>
  <si>
    <t xml:space="preserve">DOOR FRAME R3 WHITE B011 40 120 2170- REBATE: 46,5X10 (BLOCKBOARD) dr. 222 (46,5x10) No rubber/no cut edges </t>
  </si>
  <si>
    <t>SLN_8103400120465100OCBP2440A</t>
  </si>
  <si>
    <t xml:space="preserve">DOOR FRAME R3 WHITE B011 40 120 2440- REBATE: 46,5X10 (BLOCKBOARD) dr. 222 (46,5x10) No rubber/no cut edges </t>
  </si>
  <si>
    <t>SLN_8103400120465100OCBP3050A</t>
  </si>
  <si>
    <t xml:space="preserve">DOOR FRAME R3 WHITE B011 40 120 3050- REBATE: 46,5X10 (BLOCKBOARD) dr. 222 (46,5x10) No rubber/no cut edges </t>
  </si>
  <si>
    <t>*from cm 12 to 28 cm the same article and description</t>
  </si>
  <si>
    <t>SFF_81..02300100SBASBAN..S2080A</t>
  </si>
  <si>
    <t>FRAME FILO FILO  White B011 THICK 30MM WIDTH100mm (BLOCKBOARD)</t>
  </si>
  <si>
    <t>SFF_81..02300100SBASBAN..S2170A</t>
  </si>
  <si>
    <t>SFF_81..02300100SBASBAN..S2440A</t>
  </si>
  <si>
    <t>SFF_81..02300120SBASBAN..S2080A</t>
  </si>
  <si>
    <t>FRAME FILO FILO  White B011 THICK 30MM WIDTH120mm (BLOCKBOARD)</t>
  </si>
  <si>
    <t>SFF_81..02300120SBASBAN..S2170A</t>
  </si>
  <si>
    <t>SFF_81..02300120SBASBAN..S2440A</t>
  </si>
  <si>
    <t>SFF_81..02300140SBASBAN..S2080A</t>
  </si>
  <si>
    <t>FRAME FILO FILO  White B011 THICK 30MM WIDTH140mm (BLOCKBOARD)</t>
  </si>
  <si>
    <t>SFF_81..02300140SBASBAN..S2170A</t>
  </si>
  <si>
    <t>SFF_81..02300140SBASBAN..S2440A</t>
  </si>
  <si>
    <t>SFF_81..02300160SBASBAN..S2080A</t>
  </si>
  <si>
    <t>FRAME FILO FILO  White B011 THICK 30MM WIDTH160mm (BLOCKBOARD)</t>
  </si>
  <si>
    <t>SFF_81..02300160SBASBAN..S2170A</t>
  </si>
  <si>
    <t>SFF_81..02300160SBASBAN..S2440A</t>
  </si>
  <si>
    <t>SLN_8103500110590100OCBP2080A</t>
  </si>
  <si>
    <t>DOOR FRAME R3 WHITE B011 50 110 2080-  DOUBLE REBATE : 59X10 - 46X10 (BLOCKBOARD)</t>
  </si>
  <si>
    <t>SLN_8103500110590100OCBP2170A</t>
  </si>
  <si>
    <t>DOOR FRAME R3 WHITE B011 50 110 2170-  DOUBLE REBATE : 59X10 - 46X10 (BLOCKBOARD)</t>
  </si>
  <si>
    <t>SLN_8103500110590100OCBP2440A</t>
  </si>
  <si>
    <t>DOOR FRAME R3 WHITE B011 50 110 2440-  DOUBLE REBATE : 59X10 - 46X10 (BLOCKBOARD)</t>
  </si>
  <si>
    <t>SLN_8103500110590140OCBP2080A</t>
  </si>
  <si>
    <t>DOOR FRAME R3 WHITE B011 50 140 2080-  DOUBLE REBATE : 59X10 - 46X10 (BLOCKBOARD)</t>
  </si>
  <si>
    <t>SLN_8103500110590140OCBP2170A</t>
  </si>
  <si>
    <t>DOOR FRAME R3 WHITE B011 50 140 2170-  DOUBLE REBATE : 59X10 - 46X10 (BLOCKBOARD)</t>
  </si>
  <si>
    <t>SLN_8103500110590140OCBP2440A</t>
  </si>
  <si>
    <t>DOOR FRAME R3 WHITE B011 50 140 2440-  DOUBLE REBATE : 59X10 - 46X10 (BLOCKBOARD)</t>
  </si>
  <si>
    <t>SLN_8103500110590160OCBP2080A</t>
  </si>
  <si>
    <t>DOOR FRAME R3 WHITE B011 50 160 2080-  DOUBLE REBATE : 59X10 - 46X10 (BLOCKBOARD)</t>
  </si>
  <si>
    <t>SLN_8103500110590160OCBP2170A</t>
  </si>
  <si>
    <t>DOOR FRAME R3 WHITE B011 50 160 2170-  DOUBLE REBATE : 59X10 - 46X10 (BLOCKBOARD)</t>
  </si>
  <si>
    <t>SLN_8103500110590160OCBP2440A</t>
  </si>
  <si>
    <t>DOOR FRAME R3 WHITE B011 50 160 2440-  DOUBLE REBATE : 59X10 - 46X10 (BLOCKBOARD)</t>
  </si>
  <si>
    <t>SLN_8103500110590180OCBP2080A</t>
  </si>
  <si>
    <t>DOOR FRAME R3 WHITE B011 50 180 2080-  DOUBLE REBATE : 59X10 - 46X10 (BLOCKBOARD)</t>
  </si>
  <si>
    <t>SLN_8103500110590180OCBP2170A</t>
  </si>
  <si>
    <t>DOOR FRAME R3 WHITE B011 50 180 2170-  DOUBLE REBATE : 59X10 - 46X10 (BLOCKBOARD)</t>
  </si>
  <si>
    <t>SLN_8103500110590180OCBP2440A</t>
  </si>
  <si>
    <t>DOOR FRAME R3 WHITE B011 50 180 2440-  DOUBLE REBATE : 59X10 - 46X10 (BLOCKBOARD)</t>
  </si>
  <si>
    <t>SLN_8103500110590220OCBP2080A</t>
  </si>
  <si>
    <t>DOOR FRAME R3 WHITE B011 50 220 2080-  DOUBLE REBATE : 59X10 - 46X10 (BLOCKBOARD)</t>
  </si>
  <si>
    <t>SLN_8103500110590220OCBP2170A</t>
  </si>
  <si>
    <t>DOOR FRAME R3 WHITE B011 50 220 2170-  DOUBLE REBATE : 59X10 - 46X10 (BLOCKBOARD)</t>
  </si>
  <si>
    <t>SLN_8103500110590220OCBP2440A</t>
  </si>
  <si>
    <t>DOOR FRAME R3 WHITE B011 50 220 2440-  DOUBLE REBATE : 59X10 - 46X10 (BLOCKBOARD)</t>
  </si>
  <si>
    <t>SLN_8103500110590240OCBP2080A</t>
  </si>
  <si>
    <t>DOOR FRAME R3 WHITE B011 50 240 2080-  DOUBLE REBATE : 59X10 - 46X10 (BLOCKBOARD)</t>
  </si>
  <si>
    <t>SLN_8103500110590240OCBP2170A</t>
  </si>
  <si>
    <t>DOOR FRAME R3 WHITE B011 50 240 2170-  DOUBLE REBATE : 59X10 - 46X10 (BLOCKBOARD)</t>
  </si>
  <si>
    <t>SLN_8103500110590240OCBP2440A</t>
  </si>
  <si>
    <t>DOOR FRAME R3 WHITE B011 50 240 2440-  DOUBLE REBATE : 59X10 - 46X10 (BLOCKBOARD)</t>
  </si>
  <si>
    <t>SLN_8103500110590260OCBP2080A</t>
  </si>
  <si>
    <t>DOOR FRAME R3 WHITE B011 50 260 2080-  DOUBLE REBATE : 59X10 - 46X10 (BLOCKBOARD)</t>
  </si>
  <si>
    <t>SLN_8103500110590260OCBP2170A</t>
  </si>
  <si>
    <t>DOOR FRAME R3 WHITE B011 50 260 2170-  DOUBLE REBATE : 59X10 - 46X10 (BLOCKBOARD)</t>
  </si>
  <si>
    <t>SLN_8103500110590260OCBP2440A</t>
  </si>
  <si>
    <t>DOOR FRAME R3 WHITE B011 50 260 2440-  DOUBLE REBATE : 59X10 - 46X10 (BLOCKBOARD)</t>
  </si>
  <si>
    <t>SLN_8103500110590280OCBP2080A</t>
  </si>
  <si>
    <t>DOOR FRAME R3 WHITE B011 50 280 2080-  DOUBLE REBATE : 59X10 - 46X10 (BLOCKBOARD)</t>
  </si>
  <si>
    <t>SLN_8103500110590280OCBP2170A</t>
  </si>
  <si>
    <t>DOOR FRAME R3 WHITE B011 50 280 2170-  DOUBLE REBATE : 59X10 - 46X10 (BLOCKBOARD)</t>
  </si>
  <si>
    <t>SLN_8103500110590280OCBP2440A</t>
  </si>
  <si>
    <t>DOOR FRAME R3 WHITE B011 50 280 2440-  DOUBLE REBATE : 59X10 - 46X10 (BLOCKBOARD)</t>
  </si>
  <si>
    <t>KIL_81100BB2150P</t>
  </si>
  <si>
    <t>FRAME KIT FOR 1 LEAVE SLIDING DOOR WHITE B011 100 2150 (MULTILAYER)</t>
  </si>
  <si>
    <t>KIL_81100BB2500P</t>
  </si>
  <si>
    <t>FRAME KIT FOR 1 LEAVE SLIDING DOOR WHITE B011 100 2500 (MULTILAYER)</t>
  </si>
  <si>
    <t>KIL_81108BB2150P</t>
  </si>
  <si>
    <t>FRAME KIT FOR 1 LEAVE SLIDING DOOR WHITE B011 108 2150 (MULTILAYER)</t>
  </si>
  <si>
    <t>KIL_81108BB2500P</t>
  </si>
  <si>
    <t>FRAME KIT FOR 1 LEAVE SLIDING DOOR WHITE B011 108 2500 (MULTILAYER)</t>
  </si>
  <si>
    <t>KIL_81125BB2150P</t>
  </si>
  <si>
    <t>FRAME KIT FOR 1 LEAVE SLIDING DOOR WHITE B011 125 2150 (MULTILAYER)</t>
  </si>
  <si>
    <t>KIL_81125BB2500P</t>
  </si>
  <si>
    <t>FRAME KIT FOR 1 LEAVE SLIDING DOOR WHITE B011 125 2500 (MULTILAYER)</t>
  </si>
  <si>
    <t>GUAKIT_B</t>
  </si>
  <si>
    <t xml:space="preserve">GASKET FOR STIPO KIT STANDARD WHITE </t>
  </si>
  <si>
    <t>GUAKIT_N</t>
  </si>
  <si>
    <t>GASKET FOR STIPO KIT STANDARD BLACK</t>
  </si>
  <si>
    <t>SPAZ_N2500150</t>
  </si>
  <si>
    <t>BRUSH BLACK 15 2500</t>
  </si>
  <si>
    <t>SPAZ_B2500150</t>
  </si>
  <si>
    <t>BRUSH WHITE 15 2500</t>
  </si>
  <si>
    <t>PPL_81P020100222000Y</t>
  </si>
  <si>
    <t xml:space="preserve">WOOD PROFILE WHITE B011 PANT02 10 22 2000 </t>
  </si>
  <si>
    <t>PPL_81P010200622000Y</t>
  </si>
  <si>
    <t xml:space="preserve">WOOD PROFILE WHITE B011 PANT01 20 62 2000 </t>
  </si>
  <si>
    <t>PPL_81MOD0111202200Y</t>
  </si>
  <si>
    <t>WOOD PROFILE WHITE B011 MOD. "D" 11 120 2250</t>
  </si>
  <si>
    <t>PPL_81MOC0300562200Y</t>
  </si>
  <si>
    <t xml:space="preserve">WOOD PROFILE WHITE B011 MOD. "C" 30 56 2200 </t>
  </si>
  <si>
    <t>תאור מוצר</t>
  </si>
  <si>
    <t>מס.סידוריים רב חברתי</t>
  </si>
  <si>
    <t>תאור משפחה</t>
  </si>
  <si>
    <t>טיפוס משפחה</t>
  </si>
  <si>
    <t>תאור טיפוס משפחה</t>
  </si>
  <si>
    <t>קוד אסטרטגית איחסון</t>
  </si>
  <si>
    <t>תאור אסטרטגית איחסון</t>
  </si>
  <si>
    <t>חיוב נלווה להשכרות</t>
  </si>
  <si>
    <t>R</t>
  </si>
  <si>
    <t>Y</t>
  </si>
  <si>
    <t>0</t>
  </si>
  <si>
    <t>משפחת מוצר כללית</t>
  </si>
  <si>
    <t>000</t>
  </si>
  <si>
    <t>O</t>
  </si>
  <si>
    <t>210</t>
  </si>
  <si>
    <t>ידית</t>
  </si>
  <si>
    <t>200</t>
  </si>
  <si>
    <t>פרזול</t>
  </si>
  <si>
    <t>700</t>
  </si>
  <si>
    <t>אריזה</t>
  </si>
  <si>
    <t>100</t>
  </si>
  <si>
    <t>610</t>
  </si>
  <si>
    <t>חומרים למפעל</t>
  </si>
  <si>
    <t>600</t>
  </si>
  <si>
    <t>חומרי גלם</t>
  </si>
  <si>
    <t>500</t>
  </si>
  <si>
    <t>כניסה פלדה</t>
  </si>
  <si>
    <t>P</t>
  </si>
  <si>
    <t>ייצור</t>
  </si>
  <si>
    <t>110</t>
  </si>
  <si>
    <t>220</t>
  </si>
  <si>
    <t>מנעול</t>
  </si>
  <si>
    <t>800</t>
  </si>
  <si>
    <t>התקנות</t>
  </si>
  <si>
    <t>300</t>
  </si>
  <si>
    <t>תוספות</t>
  </si>
  <si>
    <t>250</t>
  </si>
  <si>
    <t>ציר</t>
  </si>
  <si>
    <t>230</t>
  </si>
  <si>
    <t>צילינדר</t>
  </si>
  <si>
    <t>400</t>
  </si>
  <si>
    <t>כניסה אלומיניום</t>
  </si>
  <si>
    <t>260</t>
  </si>
  <si>
    <t>לבידים</t>
  </si>
  <si>
    <t>99</t>
  </si>
  <si>
    <t>דלתות פנים</t>
  </si>
  <si>
    <t>620</t>
  </si>
  <si>
    <t>ציוד למפעל</t>
  </si>
  <si>
    <t>ציוד משרדי</t>
  </si>
  <si>
    <t>דלתות כניסה</t>
  </si>
  <si>
    <t>630</t>
  </si>
  <si>
    <t>גומיות למשקופים</t>
  </si>
  <si>
    <t>900</t>
  </si>
  <si>
    <t>שירות</t>
  </si>
  <si>
    <t>משפחת שעות עבודה</t>
  </si>
  <si>
    <t>משפחה</t>
  </si>
  <si>
    <t>תאור משפחה (אנגלית)</t>
  </si>
  <si>
    <t>שעות עבודה</t>
  </si>
  <si>
    <t>לחיוב בדווח לפרויקט?</t>
  </si>
  <si>
    <t>ייצור פרויקטלי?</t>
  </si>
  <si>
    <t>טכנאי אחראי</t>
  </si>
  <si>
    <t>הפצה</t>
  </si>
  <si>
    <t>עלות יבוא אוויר (%)</t>
  </si>
  <si>
    <t>עלות יבוא ים (%)</t>
  </si>
  <si>
    <t>עלות יבוא יבשה (%)</t>
  </si>
  <si>
    <t>סוג עלות יבוא L/S/A</t>
  </si>
  <si>
    <t>פריטי מכר?</t>
  </si>
  <si>
    <t>לא לאפשר מלאי שלילי?</t>
  </si>
  <si>
    <t>יעד מכירות/עסקאות</t>
  </si>
  <si>
    <t>להצגה בקטלוג</t>
  </si>
  <si>
    <t>מוצר לדוגמא</t>
  </si>
  <si>
    <t>תוקף חודשי לליקוט</t>
  </si>
  <si>
    <t>מרכזת?</t>
  </si>
  <si>
    <t>משפחה מרכזת</t>
  </si>
  <si>
    <t>לא פעילה</t>
  </si>
  <si>
    <t>מונה?</t>
  </si>
  <si>
    <t>השכרות?</t>
  </si>
  <si>
    <t>משפחה לשריון מלאי</t>
  </si>
  <si>
    <t>עקרון הכרה בהכנסה</t>
  </si>
  <si>
    <t>עקרון ההכרה - תיאור</t>
  </si>
  <si>
    <t>תזמון הכרה בהכנסה</t>
  </si>
  <si>
    <t>תזמון ההכרה - תיאור</t>
  </si>
  <si>
    <t>משך פריסת ההכרה</t>
  </si>
  <si>
    <t>צילנדר</t>
  </si>
  <si>
    <t xml:space="preserve">צירים </t>
  </si>
  <si>
    <t xml:space="preserve">מנעול </t>
  </si>
  <si>
    <t>פריט מיוצר</t>
  </si>
  <si>
    <t>פריט קנוי</t>
  </si>
  <si>
    <t>אחר</t>
  </si>
  <si>
    <t>CODART</t>
  </si>
  <si>
    <t>IT DESCRIPTION</t>
  </si>
  <si>
    <t>EN DESCRIPTION</t>
  </si>
  <si>
    <t xml:space="preserve">CF055140H010      </t>
  </si>
  <si>
    <t xml:space="preserve">CERN FE AC ZINC  D14 L24  BOX1 G 8,1X40 CON P1,15DS </t>
  </si>
  <si>
    <t>HINGE FEMALE PART ZINC PLATED diam. 14</t>
  </si>
  <si>
    <t xml:space="preserve">CG055140H015      </t>
  </si>
  <si>
    <t>CERN MONT SU CARICATORI SCANE1 D14X24  G 8,1X40 CON P1,15DS</t>
  </si>
  <si>
    <t>MALE PART ZINK PLATED diam.14</t>
  </si>
  <si>
    <t xml:space="preserve">GC2300109N02      </t>
  </si>
  <si>
    <t>CAPPUCC  INVISACTA 230  BOX3BI 18 SAC.DA 4 CAP.ALLUM X9n</t>
  </si>
  <si>
    <t xml:space="preserve">COVER IN230 MATT BLACK </t>
  </si>
  <si>
    <t xml:space="preserve">GC2300109P02      </t>
  </si>
  <si>
    <t>CAPPUCC  INVISACTA 230  BOX3BI 18 SAC.DA 4 CAP.ALL. BIAN.x9P</t>
  </si>
  <si>
    <t xml:space="preserve">COVER IN230 MATT WHITE </t>
  </si>
  <si>
    <t xml:space="preserve">GC3000109N02      </t>
  </si>
  <si>
    <t xml:space="preserve">CAPP INV 300 NERO OPACO BOX3BI 18 SAC.DA 4 CAP.ALLUM. x9N </t>
  </si>
  <si>
    <t xml:space="preserve">COVER IN300 MATT BLACK </t>
  </si>
  <si>
    <t xml:space="preserve">GC3000109P02      </t>
  </si>
  <si>
    <t>CAPPUCC  INVISACTA 300  BOX3BI 18 SAC.DA 4 CAP.ALL. BIAN.x9P</t>
  </si>
  <si>
    <t>COVER IN300 MATT WHITE</t>
  </si>
  <si>
    <t xml:space="preserve">IN2301209N02      </t>
  </si>
  <si>
    <t xml:space="preserve">CER INV PL NERO OP 23X120 BOX5 CON 3 REGOLAZIONI </t>
  </si>
  <si>
    <t>IN230 CONC.HINGE MATT BLACK 60kg</t>
  </si>
  <si>
    <t xml:space="preserve">IN2301209P02      </t>
  </si>
  <si>
    <t>CER INV RAL9016 OP 23X120 BOX5 CON 3 REGOLAZIONI</t>
  </si>
  <si>
    <t>IN230 CONC.HINGE MATT WHITE 60kg</t>
  </si>
  <si>
    <t xml:space="preserve">IN3001209P02      </t>
  </si>
  <si>
    <t>CER INV RAL9016 OP 30X120 BOX5 CON 3 REGOLAZIONI</t>
  </si>
  <si>
    <t>IN300 CONC.HINGE MATT WHITE 60kg</t>
  </si>
  <si>
    <t xml:space="preserve">IN3031209N02      </t>
  </si>
  <si>
    <t>CERN INVIS NERO OP 30X120 BOX5 CON 3 REGOLAZIONI</t>
  </si>
  <si>
    <t>IN303 CONC.HINGE MATT BLACK  60kg</t>
  </si>
  <si>
    <t xml:space="preserve">IN3031209P02      </t>
  </si>
  <si>
    <t>CERN INVIS BIAN OP 30X120 BOX5 CON 3 REGOLAZIONI</t>
  </si>
  <si>
    <t>IN303 CONC.HINGE MATT WHITE 80kg</t>
  </si>
  <si>
    <t xml:space="preserve">IN3101909N03      </t>
  </si>
  <si>
    <t>CER INVIS NERO OPA 31x190 BOX8 CON 3 REGOLAZI CAPS+VITI SACC</t>
  </si>
  <si>
    <t>IN310 CONC.HINGE MATT BLACK  120kg</t>
  </si>
  <si>
    <t xml:space="preserve">IN3101909P03      </t>
  </si>
  <si>
    <t>CERN INV PL BIA OP 31x190 BOX8 CON 3 REGOLAZI CAPS+VITI SACC</t>
  </si>
  <si>
    <t>IN310 CONC.HINGE MATT WHITE  120 kg</t>
  </si>
  <si>
    <t xml:space="preserve">IN310190V703      </t>
  </si>
  <si>
    <t>CERN INVIS ARG SAT 31x190 BOX8 CON 3 REGOLAZI CAPS+VITI SACC</t>
  </si>
  <si>
    <t>IN310 CONC.HINGE SATINIZED SILVER 120 kg</t>
  </si>
  <si>
    <t xml:space="preserve">IN310190VN03      </t>
  </si>
  <si>
    <t>CERN INVIS NIC SAT 31x190 BOX8 CON 3 REGOLAZ  CAPS+VITI SACC</t>
  </si>
  <si>
    <t>IN310 CONC.HINGE SATINIZED NICKEL  120kg</t>
  </si>
  <si>
    <t xml:space="preserve">IN5701309N03      </t>
  </si>
  <si>
    <t xml:space="preserve">CERN INVIS NERO OP 32x130 BOX7 3REG DISAS +CAPS +VITI SACC  </t>
  </si>
  <si>
    <t>IN570 OFFSET CONC.HINGE MATT BLACK 60kg</t>
  </si>
  <si>
    <t xml:space="preserve">IN5701309P03      </t>
  </si>
  <si>
    <t xml:space="preserve">CER INVIS BIANCO OP 32x130BOX7 3REG DISAS +CAPS +VITI SACC  </t>
  </si>
  <si>
    <t>IN570 OFFSET CONC.HINGE MATT WHITE 60kg</t>
  </si>
  <si>
    <t>TIROSH WEINSTOCK LTD.</t>
  </si>
  <si>
    <t>SUPPLIER</t>
  </si>
  <si>
    <t>ITEM DESCRIPTION</t>
  </si>
  <si>
    <t>SIZE</t>
  </si>
  <si>
    <t>Alanyali</t>
  </si>
  <si>
    <t>spruce f/j A-grade door stiles</t>
  </si>
  <si>
    <t>thickness 46 mm / width 50 mm / length 2200 mm</t>
  </si>
  <si>
    <t>thickness 34 mm / width 38 mm / length 2030 mm</t>
  </si>
  <si>
    <t>thickness 38 mm / width 38 mm / length 2200 mm</t>
  </si>
  <si>
    <t>Sauerland</t>
  </si>
  <si>
    <t>Tubular chipboard type 34 RT8</t>
  </si>
  <si>
    <t>length 952 mm / width 1920 mm / thickness 34 mm</t>
  </si>
  <si>
    <t>Tubular chipboard type 38 RA</t>
  </si>
  <si>
    <t>length 900mm / width 1978 mm / thickness 38 mm</t>
  </si>
  <si>
    <t>Tubular chipboard type 30RD</t>
  </si>
  <si>
    <t>length 900 mm/ width 2040 mm / thickness 30 mm</t>
  </si>
  <si>
    <t>Tubular chipboard type 44RT7</t>
  </si>
  <si>
    <t>length 900 mm/ width 2054 mm / thickness 44 mm</t>
  </si>
  <si>
    <t>Sandwich board type 45 S3K</t>
  </si>
  <si>
    <t>length 1000 mm / width 2000 mm / thickness 45 mm</t>
  </si>
  <si>
    <t>ID</t>
  </si>
  <si>
    <t>Name</t>
  </si>
  <si>
    <t>SKU</t>
  </si>
  <si>
    <t>כנף פתיחה רגילה שטופקנט סדרה אקווה</t>
  </si>
  <si>
    <t>MDF 4</t>
  </si>
  <si>
    <t>msh_hdf4x90x215</t>
  </si>
  <si>
    <t>msh_hdf4x122x244</t>
  </si>
  <si>
    <t>MDF 6</t>
  </si>
  <si>
    <t>msh_hdf6x90x215</t>
  </si>
  <si>
    <t>msh_hdf6x122x244</t>
  </si>
  <si>
    <t>msh_hdf6x122x305</t>
  </si>
  <si>
    <t>אקווה1.8</t>
  </si>
  <si>
    <t>msh_aqua1.8x65x205</t>
  </si>
  <si>
    <t>msh_aqua1.8x65x215</t>
  </si>
  <si>
    <t>msh_aqua1.8x65x225</t>
  </si>
  <si>
    <t>msh_aqua1.8x75x205</t>
  </si>
  <si>
    <t>msh_aqua1.8x75x215</t>
  </si>
  <si>
    <t>msh_aqua1.8x75x225</t>
  </si>
  <si>
    <t>msh_aqua1.8x85x205</t>
  </si>
  <si>
    <t>msh_aqua1.8x85x215</t>
  </si>
  <si>
    <t>msh_aqua1.8x85x225</t>
  </si>
  <si>
    <t>msh_aqua1.8x95x205</t>
  </si>
  <si>
    <t>msh_aqua1.8x95x215</t>
  </si>
  <si>
    <t>msh_aqua1.8x95x225</t>
  </si>
  <si>
    <t>msh_aqua1.8x122x244</t>
  </si>
  <si>
    <t>msh_aqua1.8x122x305</t>
  </si>
  <si>
    <t>פלקסבורד28</t>
  </si>
  <si>
    <t>msh_flex28</t>
  </si>
  <si>
    <t>פלקסבורד34</t>
  </si>
  <si>
    <t>msh_flex34</t>
  </si>
  <si>
    <t>פלקסבורד38</t>
  </si>
  <si>
    <t>msh_flex38</t>
  </si>
  <si>
    <t>פלקסבורד44</t>
  </si>
  <si>
    <t>msh_flex44</t>
  </si>
  <si>
    <t>פלקס אקוסטי33</t>
  </si>
  <si>
    <t>msh_facusti33</t>
  </si>
  <si>
    <t>פלקס אקוסטי45</t>
  </si>
  <si>
    <t>msh_facusti45</t>
  </si>
  <si>
    <t>פאנל30</t>
  </si>
  <si>
    <t>msh_pacusti</t>
  </si>
  <si>
    <t>פורמייקה לצבע</t>
  </si>
  <si>
    <t>msh_form1x122x244</t>
  </si>
  <si>
    <t>לוקובונד לבן</t>
  </si>
  <si>
    <t>msh_loc_white</t>
  </si>
  <si>
    <t>לוקובונד שחור</t>
  </si>
  <si>
    <t>msh_loc_black</t>
  </si>
  <si>
    <t>קלקר40</t>
  </si>
  <si>
    <t>msh_polystyrene4</t>
  </si>
  <si>
    <t>קלקר60</t>
  </si>
  <si>
    <t>msh_polystyrene6</t>
  </si>
  <si>
    <t>Width</t>
  </si>
  <si>
    <t>Length</t>
  </si>
  <si>
    <t>Thickness</t>
  </si>
  <si>
    <t>Group</t>
  </si>
  <si>
    <t>mdf4</t>
  </si>
  <si>
    <t>mdf6</t>
  </si>
  <si>
    <t>aqua1.8</t>
  </si>
  <si>
    <t>flex28</t>
  </si>
  <si>
    <t>flex34</t>
  </si>
  <si>
    <t>flex38</t>
  </si>
  <si>
    <t>flex44</t>
  </si>
  <si>
    <t>flex_acusti33</t>
  </si>
  <si>
    <t>flex_acusti45</t>
  </si>
  <si>
    <t>panel_acusti</t>
  </si>
  <si>
    <t>locobond4</t>
  </si>
  <si>
    <t>polistyrene4</t>
  </si>
  <si>
    <t>polistyrene6</t>
  </si>
  <si>
    <t>pine34</t>
  </si>
  <si>
    <t>Pine_34</t>
  </si>
  <si>
    <t>Pine_38</t>
  </si>
  <si>
    <t>pine38</t>
  </si>
  <si>
    <t>frm_3</t>
  </si>
  <si>
    <t>Frame</t>
  </si>
  <si>
    <t>hdw_1</t>
  </si>
  <si>
    <t>hdw_2</t>
  </si>
  <si>
    <t>מנעול מגנט מפתח 0</t>
  </si>
  <si>
    <t>hdw_3</t>
  </si>
  <si>
    <t>מנעול מגנט צילינדר</t>
  </si>
  <si>
    <t>חלק</t>
  </si>
  <si>
    <t>קווטרו</t>
  </si>
  <si>
    <t>f_clean</t>
  </si>
  <si>
    <t>f_2</t>
  </si>
  <si>
    <t>ידית נידל מרובע</t>
  </si>
  <si>
    <t>h4001</t>
  </si>
  <si>
    <t>frm_shtuf</t>
  </si>
  <si>
    <t>verbose_name</t>
  </si>
  <si>
    <t>דלתות פתיחה רגילה</t>
  </si>
  <si>
    <t>דלתות פתיחה נסתרות</t>
  </si>
  <si>
    <t>דלתות אקוסטיות</t>
  </si>
  <si>
    <t>דלתות הזזה</t>
  </si>
  <si>
    <t>שונות</t>
  </si>
  <si>
    <t>דלת כניסה אלומיניום N8</t>
  </si>
  <si>
    <t>דלת כניסה פיבוט</t>
  </si>
  <si>
    <t>דלת פתיחה רגילה שטופקנט</t>
  </si>
  <si>
    <t>דלת פתיחה רגילה פלץ</t>
  </si>
  <si>
    <t>דלת נסתרת בקו ההלבשה</t>
  </si>
  <si>
    <t>דלת נסתרת בקו אפס</t>
  </si>
  <si>
    <t>דלת אקוסטית עם פלץ כפול במשקוף</t>
  </si>
  <si>
    <t>דלת אקוסטית מלונות</t>
  </si>
  <si>
    <t>דלת הזזה רגילה עם משקוף</t>
  </si>
  <si>
    <t>דלת הזזה Evolution</t>
  </si>
  <si>
    <t>דלת הזזה Absolute</t>
  </si>
  <si>
    <t>דלת הזזה Space</t>
  </si>
  <si>
    <t>דלת הזזה אסם</t>
  </si>
  <si>
    <t>משקופי מעבר</t>
  </si>
  <si>
    <t>בויידם</t>
  </si>
  <si>
    <t>pcw</t>
  </si>
  <si>
    <t>pch</t>
  </si>
  <si>
    <t>קומפלט פתיחה רגילה שטופקנט סדרה אקווה</t>
  </si>
  <si>
    <t>ddc</t>
  </si>
  <si>
    <t>dim102</t>
  </si>
  <si>
    <t>כפולה 2/3+1/3</t>
  </si>
  <si>
    <t>double_door_mod</t>
  </si>
  <si>
    <t>Par1</t>
  </si>
  <si>
    <t>Comment</t>
  </si>
  <si>
    <t>Par2</t>
  </si>
  <si>
    <t>Par3</t>
  </si>
  <si>
    <t>par1 - if &lt;1, relative. If &gt; 1, absolute</t>
  </si>
  <si>
    <t>דלת הזזה Evolution סדרה אקווה</t>
  </si>
  <si>
    <t>עופרת 0.5 מ"מ</t>
  </si>
  <si>
    <t>dim103</t>
  </si>
  <si>
    <t>structure_changer</t>
  </si>
  <si>
    <t>Models</t>
  </si>
  <si>
    <t>components_to_remove</t>
  </si>
  <si>
    <t>components_to_add</t>
  </si>
  <si>
    <t>Qty_to_add</t>
  </si>
  <si>
    <t>Tag</t>
  </si>
  <si>
    <t>cover_material</t>
  </si>
  <si>
    <t>filling_material</t>
  </si>
  <si>
    <t>Lead_05</t>
  </si>
  <si>
    <t>dim104</t>
  </si>
  <si>
    <t>temp</t>
  </si>
  <si>
    <t>msh_flex100</t>
  </si>
  <si>
    <t>msh_flex200</t>
  </si>
  <si>
    <t>msh_flex300</t>
  </si>
  <si>
    <t>edge</t>
  </si>
  <si>
    <t>edge_buk2x4_out</t>
  </si>
  <si>
    <t>edge_buk2x3_out</t>
  </si>
  <si>
    <t>edge_buk2x4_hidden</t>
  </si>
  <si>
    <t>edge_buk2x3_hidden</t>
  </si>
  <si>
    <t>form_0.8</t>
  </si>
  <si>
    <t>sku</t>
  </si>
  <si>
    <t>t_entry</t>
  </si>
  <si>
    <t>t_regular</t>
  </si>
  <si>
    <t>t_hidden</t>
  </si>
  <si>
    <t>t_acousti</t>
  </si>
  <si>
    <t>t_sliding</t>
  </si>
  <si>
    <t>t_other</t>
  </si>
  <si>
    <t>f_entry_1</t>
  </si>
  <si>
    <t>f_entry_2</t>
  </si>
  <si>
    <t>f_regular_3</t>
  </si>
  <si>
    <t>f_regular_4</t>
  </si>
  <si>
    <t>f_hidden_5</t>
  </si>
  <si>
    <t>f_hidden_6</t>
  </si>
  <si>
    <t>f_acousti_9</t>
  </si>
  <si>
    <t>f_acousti_10</t>
  </si>
  <si>
    <t>f_sliding_11</t>
  </si>
  <si>
    <t>f_sliding_12</t>
  </si>
  <si>
    <t>f_sliding_13</t>
  </si>
  <si>
    <t>f_sliding_14</t>
  </si>
  <si>
    <t>f_sliding_15</t>
  </si>
  <si>
    <t>f_other_16</t>
  </si>
  <si>
    <t>f_other_17</t>
  </si>
  <si>
    <t>אקווה</t>
  </si>
  <si>
    <t>קלאסיק</t>
  </si>
  <si>
    <t>כפרי</t>
  </si>
  <si>
    <t>אילן היוכסין</t>
  </si>
  <si>
    <t>ניו אייג'</t>
  </si>
  <si>
    <t>מוסדי</t>
  </si>
  <si>
    <t>אלגנט</t>
  </si>
  <si>
    <t>aqua</t>
  </si>
  <si>
    <t>classic</t>
  </si>
  <si>
    <t>cafri</t>
  </si>
  <si>
    <t>genealogic</t>
  </si>
  <si>
    <t>newage</t>
  </si>
  <si>
    <t>mosdi</t>
  </si>
  <si>
    <t>elegant</t>
  </si>
  <si>
    <t>דלת כניסה אלומיניום N8 סדרה אלגנט</t>
  </si>
  <si>
    <t>דלת כניסה פיבוט סדרה אלגנט</t>
  </si>
  <si>
    <t>קומפלט פתיחה רגילה שטופקנט סדרה כפרי</t>
  </si>
  <si>
    <t>קומפלט פתיחה רגילה שטופקנט סדרה אילן היוחסין</t>
  </si>
  <si>
    <t>קומפלט פתיחה רגילה שטופקנט סדרה ניו אייג'</t>
  </si>
  <si>
    <t>דלת נסתרת בקו ההלבשה סדרה אקווה</t>
  </si>
  <si>
    <t>דלת נסתרת בקו ההלבשה סדרה אילן היוחסין</t>
  </si>
  <si>
    <t>דלת נסתרת בקו ההלבשה סדרה ניו אייג'</t>
  </si>
  <si>
    <t>דלת אקוסטית עם פלץ כפול במשקוף סדרה אקווה</t>
  </si>
  <si>
    <t>דלת אקוסטית עם פלץ כפול במשקוף סדרה אילן היוחסין</t>
  </si>
  <si>
    <t>דלת אקוסטית עם פלץ כפול במשקוף סדרה ניו אייג'</t>
  </si>
  <si>
    <t>דלת אקוסטית מלונות סדרה אקווה</t>
  </si>
  <si>
    <t>דלת אקוסטית מלונות סדרה אילן היוחסין</t>
  </si>
  <si>
    <t>דלת אקוסטית מלונות סדרה ניו אייג'</t>
  </si>
  <si>
    <t>דלת הזזה רגילה עם משקוף סדרה אקווה</t>
  </si>
  <si>
    <t>דלת הזזה רגילה עם משקוף סדרה קלאסיק</t>
  </si>
  <si>
    <t>דלת הזזה רגילה עם משקוף סדרה כפרי</t>
  </si>
  <si>
    <t>דלת הזזה רגילה עם משקוף סדרה אילן היוחסין</t>
  </si>
  <si>
    <t>דלת הזזה רגילה עם משקוף סדרה ניו אייג'</t>
  </si>
  <si>
    <t>דלת הזזה Evolution סדרה אילן היוחסין</t>
  </si>
  <si>
    <t>דלת הזזה Evolution סדרה ניו אייג'</t>
  </si>
  <si>
    <t>דלת הזזה Absolute סדרה אקווה</t>
  </si>
  <si>
    <t>דלת הזזה Absolute סדרה אילן היוחסין</t>
  </si>
  <si>
    <t>דלת הזזה Absolute סדרה ניו אייג'</t>
  </si>
  <si>
    <t>דלת הזזה Space סדרה אקווה</t>
  </si>
  <si>
    <t>דלת הזזה Space סדרה אילן היוחסין</t>
  </si>
  <si>
    <t>דלת הזזה Space סדרה ניו אייג'</t>
  </si>
  <si>
    <t>דלת הזזה אסם סדרה אקווה</t>
  </si>
  <si>
    <t>דלת הזזה אסם סדרה אילן היוחסין</t>
  </si>
  <si>
    <t>דלת הזזה אסם סדרה ניו אייג'</t>
  </si>
  <si>
    <t>Family</t>
  </si>
  <si>
    <t>Series</t>
  </si>
  <si>
    <t>כנף פתיחה רגילה שטופקנט סדרה כפרי</t>
  </si>
  <si>
    <t>כנף פתיחה רגילה שטופקנט סדרה אילן היוחסין</t>
  </si>
  <si>
    <t>כנף פתיחה רגילה שטופקנט סדרה ניו אייג'</t>
  </si>
  <si>
    <t>כנף שטוף קנט בוק גלוי סדרה מוסדי</t>
  </si>
  <si>
    <t>קומפלט שטוף קנט בוק גלוי סדרה מוסדי</t>
  </si>
  <si>
    <t>כנף שטוף קנט בוק סמוי סדרה מוסדי</t>
  </si>
  <si>
    <t>קומפלט שטוף קנט בוק סמוי סדרה מוסדי</t>
  </si>
  <si>
    <t>כנף פתיחה רגילה פלץ סדרה אקווה</t>
  </si>
  <si>
    <t>קומפלט פתיחה רגילה פלץ סדרה אקווה</t>
  </si>
  <si>
    <t>קומפלט פתיחה רגילה פלץ סדרה כפרי</t>
  </si>
  <si>
    <t>כנף פתיחה רגילה פלץ סדרה אילן היוחסין</t>
  </si>
  <si>
    <t>קומפלט פתיחה רגילה פלץ סדרה אילן היוחסין</t>
  </si>
  <si>
    <t>כנף פתיחה רגילה פלץ סדרה ניו אייג'</t>
  </si>
  <si>
    <t>קומפלט פתיחה רגילה פלץ סדרה ניו אייג'</t>
  </si>
  <si>
    <t>כנף פתיחה רגילה פלץ סדרה כפרי</t>
  </si>
  <si>
    <t>כנף פלץ קנט בוק גלוי סדרה מוסדי</t>
  </si>
  <si>
    <t>קומפלט פלץ קנט בוק גלוי סדרה מוסדי</t>
  </si>
  <si>
    <t>כנף פלץ קנט בוק סמוי סדרה מוסדי</t>
  </si>
  <si>
    <t>קומפלט פלץ קנט בוק סמוי סדרה מוסדי</t>
  </si>
  <si>
    <t>product_types_id</t>
  </si>
  <si>
    <t>דלת נסתרת רצפה\תקרה בקו ההלבשה סדרה אקווה</t>
  </si>
  <si>
    <t>דלת נסתרת רצפה\תקרה בקו ההלבשה סדרה אילן היוחסין</t>
  </si>
  <si>
    <t>דלת נסתרת רצפה\תקרה בקו ההלבשה סדרה ניו אייג'</t>
  </si>
  <si>
    <t>דלת נסתרת רצפה\תקרה בקו אפס סדרה אקווה</t>
  </si>
  <si>
    <t>דלת נסתרת רצפה\תקרה בקו אפס סדרה אילן היוחסין</t>
  </si>
  <si>
    <t>דלת נסתרת רצפה\תקרה בקו אפס סדרה ניו אייג'</t>
  </si>
  <si>
    <t>דלת נסתרת רצפה\תקרה בקו אפס סדרה אלגנט</t>
  </si>
  <si>
    <t>stg_press</t>
  </si>
  <si>
    <t>stg_cleaning</t>
  </si>
  <si>
    <t>stg_edges</t>
  </si>
  <si>
    <t>stg_routing</t>
  </si>
  <si>
    <t>stg_windows</t>
  </si>
  <si>
    <t>stg_carpenter</t>
  </si>
  <si>
    <t>stg_door_frames</t>
  </si>
  <si>
    <t>stg_painting</t>
  </si>
  <si>
    <t>stg_store</t>
  </si>
  <si>
    <t>mdl_4_aqua,mdl_5_aqua,mdl_52_aqua</t>
  </si>
  <si>
    <t>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</si>
</sst>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77"/>
      <scheme val="minor"/>
    </font>
    <font>
      <b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4" borderId="7" xfId="0" applyFont="1" applyFill="1" applyBorder="1" applyAlignment="1">
      <alignment horizontal="center" vertical="center"/>
    </xf>
    <xf numFmtId="0" fontId="0" fillId="5" borderId="7" xfId="0" quotePrefix="1" applyFill="1" applyBorder="1"/>
    <xf numFmtId="0" fontId="6" fillId="0" borderId="0" xfId="0" applyFont="1"/>
    <xf numFmtId="0" fontId="6" fillId="3" borderId="0" xfId="0" applyFont="1" applyFill="1" applyAlignment="1">
      <alignment horizontal="center"/>
    </xf>
    <xf numFmtId="0" fontId="0" fillId="6" borderId="0" xfId="0" applyFill="1"/>
    <xf numFmtId="0" fontId="0" fillId="0" borderId="8" xfId="0" applyBorder="1" applyAlignment="1">
      <alignment wrapText="1"/>
    </xf>
    <xf numFmtId="0" fontId="0" fillId="0" borderId="8" xfId="0" applyBorder="1"/>
    <xf numFmtId="0" fontId="0" fillId="7" borderId="0" xfId="0" applyFill="1"/>
    <xf numFmtId="0" fontId="0" fillId="0" borderId="9" xfId="0" applyBorder="1"/>
    <xf numFmtId="0" fontId="0" fillId="5" borderId="9" xfId="0" applyFill="1" applyBorder="1"/>
    <xf numFmtId="0" fontId="0" fillId="5" borderId="9" xfId="0" applyFill="1" applyBorder="1" applyAlignment="1">
      <alignment wrapText="1"/>
    </xf>
    <xf numFmtId="0" fontId="7" fillId="8" borderId="0" xfId="0" applyFont="1" applyFill="1" applyAlignment="1">
      <alignment horizontal="center"/>
    </xf>
    <xf numFmtId="0" fontId="9" fillId="0" borderId="1" xfId="1" applyFont="1" applyBorder="1" applyAlignment="1">
      <alignment horizontal="center" vertical="top"/>
    </xf>
    <xf numFmtId="0" fontId="8" fillId="0" borderId="0" xfId="1"/>
  </cellXfs>
  <cellStyles count="2">
    <cellStyle name="Normal" xfId="0" builtinId="0"/>
    <cellStyle name="Normal 2" xfId="1" xr:uid="{CD541C32-909F-407F-A11A-771E68C1F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458BD5-3F89-4DD2-A2BC-8C77A7F79360}">
  <we:reference id="wa104380862" version="1.5.0.0" store="ru-RU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CF3E-6D56-4D12-B9C0-288AE51FFA4A}">
  <sheetPr codeName="Sheet2"/>
  <dimension ref="A1:B104"/>
  <sheetViews>
    <sheetView workbookViewId="0">
      <selection activeCell="H25" sqref="H25"/>
    </sheetView>
  </sheetViews>
  <sheetFormatPr defaultRowHeight="13.5" x14ac:dyDescent="0.35"/>
  <cols>
    <col min="1" max="1" width="49.25" bestFit="1" customWidth="1"/>
    <col min="2" max="2" width="105.875" bestFit="1" customWidth="1"/>
  </cols>
  <sheetData>
    <row r="1" spans="1:2" ht="21" x14ac:dyDescent="0.6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3" t="s">
        <v>4</v>
      </c>
      <c r="B3" s="2" t="s">
        <v>5</v>
      </c>
    </row>
    <row r="4" spans="1:2" x14ac:dyDescent="0.35">
      <c r="A4" s="4" t="s">
        <v>6</v>
      </c>
      <c r="B4" s="5" t="s">
        <v>7</v>
      </c>
    </row>
    <row r="5" spans="1:2" x14ac:dyDescent="0.35">
      <c r="A5" s="4" t="s">
        <v>8</v>
      </c>
      <c r="B5" s="5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6" t="s">
        <v>18</v>
      </c>
      <c r="B10" s="4" t="s">
        <v>19</v>
      </c>
    </row>
    <row r="11" spans="1:2" x14ac:dyDescent="0.35">
      <c r="A11" s="6" t="s">
        <v>20</v>
      </c>
      <c r="B11" s="4" t="s">
        <v>21</v>
      </c>
    </row>
    <row r="12" spans="1:2" x14ac:dyDescent="0.35">
      <c r="A12" s="6" t="s">
        <v>22</v>
      </c>
      <c r="B12" s="4" t="s">
        <v>23</v>
      </c>
    </row>
    <row r="13" spans="1:2" x14ac:dyDescent="0.35">
      <c r="A13" s="6" t="s">
        <v>24</v>
      </c>
      <c r="B13" s="4" t="s">
        <v>25</v>
      </c>
    </row>
    <row r="14" spans="1:2" x14ac:dyDescent="0.35">
      <c r="A14" s="6" t="s">
        <v>26</v>
      </c>
      <c r="B14" s="4" t="s">
        <v>27</v>
      </c>
    </row>
    <row r="15" spans="1:2" x14ac:dyDescent="0.35">
      <c r="A15" s="6" t="s">
        <v>28</v>
      </c>
      <c r="B15" s="4" t="s">
        <v>29</v>
      </c>
    </row>
    <row r="16" spans="1:2" x14ac:dyDescent="0.35">
      <c r="A16" s="6" t="s">
        <v>30</v>
      </c>
      <c r="B16" s="4" t="s">
        <v>31</v>
      </c>
    </row>
    <row r="17" spans="1:2" x14ac:dyDescent="0.35">
      <c r="A17" s="6" t="s">
        <v>32</v>
      </c>
      <c r="B17" s="4" t="s">
        <v>33</v>
      </c>
    </row>
    <row r="18" spans="1:2" x14ac:dyDescent="0.35">
      <c r="A18" s="7" t="s">
        <v>34</v>
      </c>
      <c r="B18" s="4" t="s">
        <v>35</v>
      </c>
    </row>
    <row r="19" spans="1:2" x14ac:dyDescent="0.35">
      <c r="A19" s="4" t="s">
        <v>36</v>
      </c>
      <c r="B19" s="4" t="s">
        <v>37</v>
      </c>
    </row>
    <row r="20" spans="1:2" x14ac:dyDescent="0.35">
      <c r="A20" s="4" t="s">
        <v>38</v>
      </c>
      <c r="B20" s="4" t="s">
        <v>39</v>
      </c>
    </row>
    <row r="21" spans="1:2" x14ac:dyDescent="0.35">
      <c r="A21" s="6" t="s">
        <v>40</v>
      </c>
      <c r="B21" s="4" t="s">
        <v>41</v>
      </c>
    </row>
    <row r="22" spans="1:2" x14ac:dyDescent="0.35">
      <c r="A22" s="4" t="s">
        <v>42</v>
      </c>
      <c r="B22" s="4" t="s">
        <v>43</v>
      </c>
    </row>
    <row r="23" spans="1:2" x14ac:dyDescent="0.35">
      <c r="A23" s="4" t="s">
        <v>44</v>
      </c>
      <c r="B23" s="4" t="s">
        <v>45</v>
      </c>
    </row>
    <row r="24" spans="1:2" x14ac:dyDescent="0.35">
      <c r="A24" s="4" t="s">
        <v>46</v>
      </c>
      <c r="B24" s="4" t="s">
        <v>47</v>
      </c>
    </row>
    <row r="25" spans="1:2" x14ac:dyDescent="0.35">
      <c r="A25" s="4" t="s">
        <v>48</v>
      </c>
      <c r="B25" s="4" t="s">
        <v>49</v>
      </c>
    </row>
    <row r="26" spans="1:2" x14ac:dyDescent="0.35">
      <c r="A26" s="4" t="s">
        <v>50</v>
      </c>
      <c r="B26" s="4" t="s">
        <v>51</v>
      </c>
    </row>
    <row r="27" spans="1:2" x14ac:dyDescent="0.35">
      <c r="A27" s="4" t="s">
        <v>52</v>
      </c>
      <c r="B27" s="4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3" t="s">
        <v>60</v>
      </c>
      <c r="B31" s="3" t="s">
        <v>61</v>
      </c>
    </row>
    <row r="32" spans="1:2" x14ac:dyDescent="0.35">
      <c r="A32" s="4" t="s">
        <v>62</v>
      </c>
      <c r="B32" s="4" t="s">
        <v>63</v>
      </c>
    </row>
    <row r="33" spans="1:2" x14ac:dyDescent="0.35">
      <c r="A33" s="4" t="s">
        <v>64</v>
      </c>
      <c r="B33" s="4" t="s">
        <v>65</v>
      </c>
    </row>
    <row r="34" spans="1:2" x14ac:dyDescent="0.35">
      <c r="A34" s="4" t="s">
        <v>66</v>
      </c>
      <c r="B34" s="4" t="s">
        <v>67</v>
      </c>
    </row>
    <row r="35" spans="1:2" x14ac:dyDescent="0.35">
      <c r="A35" s="4" t="s">
        <v>68</v>
      </c>
      <c r="B35" s="4" t="s">
        <v>69</v>
      </c>
    </row>
    <row r="37" spans="1:2" x14ac:dyDescent="0.35">
      <c r="A37" s="2" t="s">
        <v>70</v>
      </c>
      <c r="B37" s="2" t="s">
        <v>71</v>
      </c>
    </row>
    <row r="38" spans="1:2" x14ac:dyDescent="0.35">
      <c r="A38" s="2" t="s">
        <v>72</v>
      </c>
      <c r="B38" s="2" t="s">
        <v>73</v>
      </c>
    </row>
    <row r="39" spans="1:2" x14ac:dyDescent="0.35">
      <c r="A39" s="2" t="s">
        <v>74</v>
      </c>
      <c r="B39" s="2" t="s">
        <v>75</v>
      </c>
    </row>
    <row r="40" spans="1:2" x14ac:dyDescent="0.35">
      <c r="A40" s="2" t="s">
        <v>76</v>
      </c>
      <c r="B40" s="2" t="s">
        <v>77</v>
      </c>
    </row>
    <row r="41" spans="1:2" ht="14.25" x14ac:dyDescent="0.45">
      <c r="A41" s="8" t="s">
        <v>78</v>
      </c>
      <c r="B41" s="8"/>
    </row>
    <row r="42" spans="1:2" ht="14.25" x14ac:dyDescent="0.45">
      <c r="A42" s="8"/>
    </row>
    <row r="43" spans="1:2" ht="14.25" x14ac:dyDescent="0.45">
      <c r="B43" s="8"/>
    </row>
    <row r="44" spans="1:2" x14ac:dyDescent="0.35">
      <c r="A44" s="2" t="s">
        <v>79</v>
      </c>
      <c r="B44" s="2" t="s">
        <v>80</v>
      </c>
    </row>
    <row r="45" spans="1:2" x14ac:dyDescent="0.35">
      <c r="A45" s="2" t="s">
        <v>81</v>
      </c>
      <c r="B45" s="2" t="s">
        <v>82</v>
      </c>
    </row>
    <row r="46" spans="1:2" x14ac:dyDescent="0.35">
      <c r="A46" s="2" t="s">
        <v>83</v>
      </c>
      <c r="B46" s="2" t="s">
        <v>84</v>
      </c>
    </row>
    <row r="47" spans="1:2" x14ac:dyDescent="0.35">
      <c r="A47" s="2" t="s">
        <v>85</v>
      </c>
      <c r="B47" s="2" t="s">
        <v>86</v>
      </c>
    </row>
    <row r="48" spans="1:2" ht="14.25" x14ac:dyDescent="0.45">
      <c r="A48" s="8" t="s">
        <v>87</v>
      </c>
    </row>
    <row r="49" spans="1:2" ht="14.25" x14ac:dyDescent="0.45">
      <c r="A49" s="8"/>
      <c r="B49" s="8"/>
    </row>
    <row r="50" spans="1:2" x14ac:dyDescent="0.35">
      <c r="A50" s="2" t="s">
        <v>88</v>
      </c>
      <c r="B50" s="2" t="s">
        <v>89</v>
      </c>
    </row>
    <row r="51" spans="1:2" x14ac:dyDescent="0.35">
      <c r="A51" s="2" t="s">
        <v>90</v>
      </c>
      <c r="B51" s="2" t="s">
        <v>89</v>
      </c>
    </row>
    <row r="52" spans="1:2" x14ac:dyDescent="0.35">
      <c r="A52" s="2" t="s">
        <v>91</v>
      </c>
      <c r="B52" s="2" t="s">
        <v>89</v>
      </c>
    </row>
    <row r="53" spans="1:2" x14ac:dyDescent="0.35">
      <c r="A53" s="2" t="s">
        <v>92</v>
      </c>
      <c r="B53" s="2" t="s">
        <v>93</v>
      </c>
    </row>
    <row r="54" spans="1:2" x14ac:dyDescent="0.35">
      <c r="A54" s="2" t="s">
        <v>94</v>
      </c>
      <c r="B54" s="2" t="s">
        <v>93</v>
      </c>
    </row>
    <row r="55" spans="1:2" x14ac:dyDescent="0.35">
      <c r="A55" s="2" t="s">
        <v>95</v>
      </c>
      <c r="B55" s="2" t="s">
        <v>93</v>
      </c>
    </row>
    <row r="56" spans="1:2" x14ac:dyDescent="0.35">
      <c r="A56" s="2" t="s">
        <v>96</v>
      </c>
      <c r="B56" s="2" t="s">
        <v>97</v>
      </c>
    </row>
    <row r="57" spans="1:2" x14ac:dyDescent="0.35">
      <c r="A57" s="2" t="s">
        <v>98</v>
      </c>
      <c r="B57" s="2" t="s">
        <v>97</v>
      </c>
    </row>
    <row r="58" spans="1:2" x14ac:dyDescent="0.35">
      <c r="A58" s="2" t="s">
        <v>99</v>
      </c>
      <c r="B58" s="2" t="s">
        <v>97</v>
      </c>
    </row>
    <row r="59" spans="1:2" x14ac:dyDescent="0.35">
      <c r="A59" s="2" t="s">
        <v>100</v>
      </c>
      <c r="B59" s="2" t="s">
        <v>101</v>
      </c>
    </row>
    <row r="60" spans="1:2" x14ac:dyDescent="0.35">
      <c r="A60" s="2" t="s">
        <v>102</v>
      </c>
      <c r="B60" s="2" t="s">
        <v>101</v>
      </c>
    </row>
    <row r="61" spans="1:2" x14ac:dyDescent="0.35">
      <c r="A61" s="2" t="s">
        <v>103</v>
      </c>
      <c r="B61" s="2" t="s">
        <v>101</v>
      </c>
    </row>
    <row r="63" spans="1:2" x14ac:dyDescent="0.35">
      <c r="A63" s="2" t="s">
        <v>104</v>
      </c>
      <c r="B63" s="2" t="s">
        <v>105</v>
      </c>
    </row>
    <row r="64" spans="1:2" x14ac:dyDescent="0.35">
      <c r="A64" s="2" t="s">
        <v>106</v>
      </c>
      <c r="B64" s="2" t="s">
        <v>107</v>
      </c>
    </row>
    <row r="65" spans="1:2" x14ac:dyDescent="0.35">
      <c r="A65" s="2" t="s">
        <v>108</v>
      </c>
      <c r="B65" s="2" t="s">
        <v>109</v>
      </c>
    </row>
    <row r="66" spans="1:2" x14ac:dyDescent="0.35">
      <c r="A66" s="2" t="s">
        <v>110</v>
      </c>
      <c r="B66" s="2" t="s">
        <v>111</v>
      </c>
    </row>
    <row r="67" spans="1:2" x14ac:dyDescent="0.35">
      <c r="A67" s="2" t="s">
        <v>112</v>
      </c>
      <c r="B67" s="2" t="s">
        <v>113</v>
      </c>
    </row>
    <row r="68" spans="1:2" x14ac:dyDescent="0.35">
      <c r="A68" s="2" t="s">
        <v>114</v>
      </c>
      <c r="B68" s="2" t="s">
        <v>115</v>
      </c>
    </row>
    <row r="69" spans="1:2" x14ac:dyDescent="0.35">
      <c r="A69" s="2" t="s">
        <v>116</v>
      </c>
      <c r="B69" s="2" t="s">
        <v>117</v>
      </c>
    </row>
    <row r="70" spans="1:2" x14ac:dyDescent="0.35">
      <c r="A70" s="2" t="s">
        <v>118</v>
      </c>
      <c r="B70" s="2" t="s">
        <v>119</v>
      </c>
    </row>
    <row r="71" spans="1:2" x14ac:dyDescent="0.35">
      <c r="A71" s="2" t="s">
        <v>120</v>
      </c>
      <c r="B71" s="2" t="s">
        <v>121</v>
      </c>
    </row>
    <row r="72" spans="1:2" x14ac:dyDescent="0.35">
      <c r="A72" s="2" t="s">
        <v>122</v>
      </c>
      <c r="B72" s="2" t="s">
        <v>123</v>
      </c>
    </row>
    <row r="73" spans="1:2" x14ac:dyDescent="0.35">
      <c r="A73" s="2" t="s">
        <v>124</v>
      </c>
      <c r="B73" s="2" t="s">
        <v>125</v>
      </c>
    </row>
    <row r="74" spans="1:2" x14ac:dyDescent="0.35">
      <c r="A74" s="2" t="s">
        <v>126</v>
      </c>
      <c r="B74" s="2" t="s">
        <v>127</v>
      </c>
    </row>
    <row r="75" spans="1:2" x14ac:dyDescent="0.35">
      <c r="A75" s="2" t="s">
        <v>128</v>
      </c>
      <c r="B75" s="2" t="s">
        <v>129</v>
      </c>
    </row>
    <row r="76" spans="1:2" x14ac:dyDescent="0.35">
      <c r="A76" s="2" t="s">
        <v>130</v>
      </c>
      <c r="B76" s="2" t="s">
        <v>131</v>
      </c>
    </row>
    <row r="77" spans="1:2" x14ac:dyDescent="0.35">
      <c r="A77" s="2" t="s">
        <v>132</v>
      </c>
      <c r="B77" s="2" t="s">
        <v>133</v>
      </c>
    </row>
    <row r="78" spans="1:2" x14ac:dyDescent="0.35">
      <c r="A78" s="2" t="s">
        <v>134</v>
      </c>
      <c r="B78" s="2" t="s">
        <v>135</v>
      </c>
    </row>
    <row r="79" spans="1:2" x14ac:dyDescent="0.35">
      <c r="A79" s="2" t="s">
        <v>136</v>
      </c>
      <c r="B79" s="2" t="s">
        <v>137</v>
      </c>
    </row>
    <row r="80" spans="1:2" x14ac:dyDescent="0.35">
      <c r="A80" s="2" t="s">
        <v>138</v>
      </c>
      <c r="B80" s="2" t="s">
        <v>139</v>
      </c>
    </row>
    <row r="81" spans="1:2" x14ac:dyDescent="0.35">
      <c r="A81" s="2" t="s">
        <v>140</v>
      </c>
      <c r="B81" s="2" t="s">
        <v>141</v>
      </c>
    </row>
    <row r="82" spans="1:2" x14ac:dyDescent="0.35">
      <c r="A82" s="2" t="s">
        <v>142</v>
      </c>
      <c r="B82" s="2" t="s">
        <v>143</v>
      </c>
    </row>
    <row r="83" spans="1:2" x14ac:dyDescent="0.35">
      <c r="A83" s="2" t="s">
        <v>144</v>
      </c>
      <c r="B83" s="2" t="s">
        <v>145</v>
      </c>
    </row>
    <row r="84" spans="1:2" x14ac:dyDescent="0.35">
      <c r="A84" s="2" t="s">
        <v>146</v>
      </c>
      <c r="B84" s="2" t="s">
        <v>147</v>
      </c>
    </row>
    <row r="85" spans="1:2" x14ac:dyDescent="0.35">
      <c r="A85" s="2" t="s">
        <v>148</v>
      </c>
      <c r="B85" s="2" t="s">
        <v>149</v>
      </c>
    </row>
    <row r="86" spans="1:2" x14ac:dyDescent="0.35">
      <c r="A86" s="2" t="s">
        <v>150</v>
      </c>
      <c r="B86" s="2" t="s">
        <v>151</v>
      </c>
    </row>
    <row r="88" spans="1:2" x14ac:dyDescent="0.35">
      <c r="A88" s="2" t="s">
        <v>152</v>
      </c>
      <c r="B88" s="2" t="s">
        <v>153</v>
      </c>
    </row>
    <row r="89" spans="1:2" x14ac:dyDescent="0.35">
      <c r="A89" s="2" t="s">
        <v>154</v>
      </c>
      <c r="B89" s="2" t="s">
        <v>155</v>
      </c>
    </row>
    <row r="90" spans="1:2" x14ac:dyDescent="0.35">
      <c r="A90" s="2" t="s">
        <v>156</v>
      </c>
      <c r="B90" s="2" t="s">
        <v>157</v>
      </c>
    </row>
    <row r="91" spans="1:2" x14ac:dyDescent="0.35">
      <c r="A91" s="2" t="s">
        <v>158</v>
      </c>
      <c r="B91" s="2" t="s">
        <v>159</v>
      </c>
    </row>
    <row r="92" spans="1:2" x14ac:dyDescent="0.35">
      <c r="A92" s="2" t="s">
        <v>160</v>
      </c>
      <c r="B92" s="2" t="s">
        <v>161</v>
      </c>
    </row>
    <row r="93" spans="1:2" x14ac:dyDescent="0.35">
      <c r="A93" s="2" t="s">
        <v>162</v>
      </c>
      <c r="B93" s="2" t="s">
        <v>163</v>
      </c>
    </row>
    <row r="95" spans="1:2" x14ac:dyDescent="0.35">
      <c r="A95" s="2" t="s">
        <v>164</v>
      </c>
      <c r="B95" s="2" t="s">
        <v>165</v>
      </c>
    </row>
    <row r="96" spans="1:2" x14ac:dyDescent="0.35">
      <c r="A96" s="2" t="s">
        <v>166</v>
      </c>
      <c r="B96" s="2" t="s">
        <v>167</v>
      </c>
    </row>
    <row r="98" spans="1:2" x14ac:dyDescent="0.35">
      <c r="A98" s="2" t="s">
        <v>168</v>
      </c>
      <c r="B98" s="2" t="s">
        <v>169</v>
      </c>
    </row>
    <row r="99" spans="1:2" x14ac:dyDescent="0.35">
      <c r="A99" s="2" t="s">
        <v>170</v>
      </c>
      <c r="B99" s="2" t="s">
        <v>171</v>
      </c>
    </row>
    <row r="101" spans="1:2" x14ac:dyDescent="0.35">
      <c r="A101" s="2" t="s">
        <v>172</v>
      </c>
      <c r="B101" s="2" t="s">
        <v>173</v>
      </c>
    </row>
    <row r="102" spans="1:2" x14ac:dyDescent="0.35">
      <c r="A102" s="2" t="s">
        <v>174</v>
      </c>
      <c r="B102" s="2" t="s">
        <v>175</v>
      </c>
    </row>
    <row r="103" spans="1:2" x14ac:dyDescent="0.35">
      <c r="A103" s="2" t="s">
        <v>176</v>
      </c>
      <c r="B103" s="2" t="s">
        <v>177</v>
      </c>
    </row>
    <row r="104" spans="1:2" x14ac:dyDescent="0.35">
      <c r="A104" s="2" t="s">
        <v>178</v>
      </c>
      <c r="B104" s="2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8987-5F7F-4F7F-B6D0-D4EE771E09BA}">
  <sheetPr codeName="Sheet3">
    <pageSetUpPr fitToPage="1"/>
  </sheetPr>
  <dimension ref="A1:C18"/>
  <sheetViews>
    <sheetView workbookViewId="0">
      <selection activeCell="C31" sqref="C31"/>
    </sheetView>
  </sheetViews>
  <sheetFormatPr defaultRowHeight="13.5" x14ac:dyDescent="0.35"/>
  <cols>
    <col min="1" max="1" width="17.125" bestFit="1" customWidth="1"/>
    <col min="2" max="2" width="64.25" bestFit="1" customWidth="1"/>
    <col min="3" max="3" width="42.5" bestFit="1" customWidth="1"/>
  </cols>
  <sheetData>
    <row r="1" spans="1:3" ht="14.25" x14ac:dyDescent="0.35">
      <c r="A1" s="17" t="s">
        <v>269</v>
      </c>
      <c r="B1" s="17" t="s">
        <v>270</v>
      </c>
      <c r="C1" s="17" t="s">
        <v>271</v>
      </c>
    </row>
    <row r="2" spans="1:3" x14ac:dyDescent="0.35">
      <c r="A2" s="18" t="s">
        <v>272</v>
      </c>
      <c r="B2" s="18" t="s">
        <v>273</v>
      </c>
      <c r="C2" s="18" t="s">
        <v>274</v>
      </c>
    </row>
    <row r="3" spans="1:3" x14ac:dyDescent="0.35">
      <c r="A3" s="18" t="s">
        <v>275</v>
      </c>
      <c r="B3" s="18" t="s">
        <v>276</v>
      </c>
      <c r="C3" s="18" t="s">
        <v>277</v>
      </c>
    </row>
    <row r="4" spans="1:3" x14ac:dyDescent="0.35">
      <c r="A4" s="18" t="s">
        <v>278</v>
      </c>
      <c r="B4" s="18" t="s">
        <v>279</v>
      </c>
      <c r="C4" s="18" t="s">
        <v>280</v>
      </c>
    </row>
    <row r="5" spans="1:3" x14ac:dyDescent="0.35">
      <c r="A5" s="18" t="s">
        <v>281</v>
      </c>
      <c r="B5" s="18" t="s">
        <v>282</v>
      </c>
      <c r="C5" s="18" t="s">
        <v>283</v>
      </c>
    </row>
    <row r="6" spans="1:3" x14ac:dyDescent="0.35">
      <c r="A6" s="18" t="s">
        <v>284</v>
      </c>
      <c r="B6" s="18" t="s">
        <v>285</v>
      </c>
      <c r="C6" s="18" t="s">
        <v>286</v>
      </c>
    </row>
    <row r="7" spans="1:3" x14ac:dyDescent="0.35">
      <c r="A7" s="18" t="s">
        <v>287</v>
      </c>
      <c r="B7" s="18" t="s">
        <v>288</v>
      </c>
      <c r="C7" s="18" t="s">
        <v>289</v>
      </c>
    </row>
    <row r="8" spans="1:3" x14ac:dyDescent="0.35">
      <c r="A8" s="18" t="s">
        <v>290</v>
      </c>
      <c r="B8" s="18" t="s">
        <v>291</v>
      </c>
      <c r="C8" s="18" t="s">
        <v>292</v>
      </c>
    </row>
    <row r="9" spans="1:3" x14ac:dyDescent="0.35">
      <c r="A9" s="18" t="s">
        <v>293</v>
      </c>
      <c r="B9" s="18" t="s">
        <v>294</v>
      </c>
      <c r="C9" s="18" t="s">
        <v>295</v>
      </c>
    </row>
    <row r="10" spans="1:3" x14ac:dyDescent="0.35">
      <c r="A10" s="18" t="s">
        <v>296</v>
      </c>
      <c r="B10" s="18" t="s">
        <v>297</v>
      </c>
      <c r="C10" s="18" t="s">
        <v>298</v>
      </c>
    </row>
    <row r="11" spans="1:3" x14ac:dyDescent="0.35">
      <c r="A11" s="18" t="s">
        <v>299</v>
      </c>
      <c r="B11" s="18" t="s">
        <v>300</v>
      </c>
      <c r="C11" s="18" t="s">
        <v>301</v>
      </c>
    </row>
    <row r="12" spans="1:3" x14ac:dyDescent="0.35">
      <c r="A12" s="18" t="s">
        <v>302</v>
      </c>
      <c r="B12" s="18" t="s">
        <v>303</v>
      </c>
      <c r="C12" s="18" t="s">
        <v>304</v>
      </c>
    </row>
    <row r="13" spans="1:3" x14ac:dyDescent="0.35">
      <c r="A13" s="18" t="s">
        <v>305</v>
      </c>
      <c r="B13" s="18" t="s">
        <v>306</v>
      </c>
      <c r="C13" s="18" t="s">
        <v>307</v>
      </c>
    </row>
    <row r="14" spans="1:3" x14ac:dyDescent="0.35">
      <c r="A14" s="18" t="s">
        <v>308</v>
      </c>
      <c r="B14" s="18" t="s">
        <v>309</v>
      </c>
      <c r="C14" s="18" t="s">
        <v>310</v>
      </c>
    </row>
    <row r="15" spans="1:3" x14ac:dyDescent="0.35">
      <c r="A15" s="18" t="s">
        <v>311</v>
      </c>
      <c r="B15" s="18" t="s">
        <v>312</v>
      </c>
      <c r="C15" s="18" t="s">
        <v>313</v>
      </c>
    </row>
    <row r="16" spans="1:3" x14ac:dyDescent="0.35">
      <c r="A16" s="18" t="s">
        <v>314</v>
      </c>
      <c r="B16" s="18" t="s">
        <v>315</v>
      </c>
      <c r="C16" s="18" t="s">
        <v>316</v>
      </c>
    </row>
    <row r="17" spans="1:3" x14ac:dyDescent="0.35">
      <c r="A17" s="18" t="s">
        <v>317</v>
      </c>
      <c r="B17" s="18" t="s">
        <v>318</v>
      </c>
      <c r="C17" s="18" t="s">
        <v>319</v>
      </c>
    </row>
    <row r="18" spans="1:3" x14ac:dyDescent="0.35">
      <c r="A18" s="18" t="s">
        <v>320</v>
      </c>
      <c r="B18" s="18" t="s">
        <v>321</v>
      </c>
      <c r="C18" s="18" t="s">
        <v>322</v>
      </c>
    </row>
  </sheetData>
  <pageMargins left="0.7" right="0.7" top="0.75" bottom="0.75" header="0.3" footer="0.3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6A8D-8D1A-406E-9451-E33E39D04AA5}">
  <sheetPr codeName="Sheet4"/>
  <dimension ref="A1:G11"/>
  <sheetViews>
    <sheetView workbookViewId="0">
      <selection activeCell="C27" sqref="C27"/>
    </sheetView>
  </sheetViews>
  <sheetFormatPr defaultRowHeight="13.5" x14ac:dyDescent="0.35"/>
  <cols>
    <col min="1" max="1" width="11.125" customWidth="1"/>
    <col min="2" max="2" width="26" customWidth="1"/>
    <col min="3" max="3" width="44.125" customWidth="1"/>
    <col min="4" max="4" width="13.625" customWidth="1"/>
    <col min="5" max="5" width="57.625" customWidth="1"/>
    <col min="6" max="6" width="13.625" customWidth="1"/>
    <col min="7" max="7" width="23.75" customWidth="1"/>
  </cols>
  <sheetData>
    <row r="1" spans="1:7" s="19" customFormat="1" ht="14.25" x14ac:dyDescent="0.45">
      <c r="A1" s="19" t="s">
        <v>323</v>
      </c>
    </row>
    <row r="2" spans="1:7" s="20" customFormat="1" ht="14.25" x14ac:dyDescent="0.45">
      <c r="A2" s="20" t="s">
        <v>324</v>
      </c>
      <c r="B2" s="20" t="s">
        <v>325</v>
      </c>
      <c r="C2" s="20" t="s">
        <v>326</v>
      </c>
    </row>
    <row r="3" spans="1:7" x14ac:dyDescent="0.35">
      <c r="A3" s="21" t="s">
        <v>327</v>
      </c>
      <c r="B3" t="s">
        <v>328</v>
      </c>
      <c r="C3" t="s">
        <v>329</v>
      </c>
      <c r="E3" s="22"/>
      <c r="F3" s="23"/>
    </row>
    <row r="4" spans="1:7" x14ac:dyDescent="0.35">
      <c r="B4" t="s">
        <v>328</v>
      </c>
      <c r="C4" t="s">
        <v>330</v>
      </c>
      <c r="E4" s="23"/>
      <c r="F4" s="23"/>
    </row>
    <row r="5" spans="1:7" x14ac:dyDescent="0.35">
      <c r="B5" t="s">
        <v>328</v>
      </c>
      <c r="C5" t="s">
        <v>331</v>
      </c>
      <c r="E5" s="23"/>
      <c r="F5" s="23"/>
      <c r="G5" s="23"/>
    </row>
    <row r="6" spans="1:7" x14ac:dyDescent="0.35">
      <c r="E6" s="23"/>
      <c r="F6" s="23"/>
    </row>
    <row r="7" spans="1:7" x14ac:dyDescent="0.35">
      <c r="A7" s="24" t="s">
        <v>332</v>
      </c>
      <c r="B7" t="s">
        <v>333</v>
      </c>
      <c r="C7" t="s">
        <v>334</v>
      </c>
      <c r="E7" s="23"/>
      <c r="F7" s="23"/>
      <c r="G7" s="25"/>
    </row>
    <row r="8" spans="1:7" x14ac:dyDescent="0.35">
      <c r="B8" t="s">
        <v>335</v>
      </c>
      <c r="C8" t="s">
        <v>336</v>
      </c>
      <c r="E8" s="26"/>
      <c r="F8" s="25"/>
    </row>
    <row r="9" spans="1:7" x14ac:dyDescent="0.35">
      <c r="B9" t="s">
        <v>337</v>
      </c>
      <c r="C9" t="s">
        <v>338</v>
      </c>
      <c r="E9" s="27"/>
      <c r="F9" s="25"/>
    </row>
    <row r="10" spans="1:7" x14ac:dyDescent="0.35">
      <c r="B10" t="s">
        <v>339</v>
      </c>
      <c r="C10" t="s">
        <v>340</v>
      </c>
    </row>
    <row r="11" spans="1:7" x14ac:dyDescent="0.35">
      <c r="B11" t="s">
        <v>341</v>
      </c>
      <c r="C11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FB44-FEF0-40C2-AF51-69C39850E413}">
  <sheetPr codeName="Sheet5"/>
  <dimension ref="A1"/>
  <sheetViews>
    <sheetView rightToLeft="1" workbookViewId="0">
      <selection activeCell="F20" sqref="F20"/>
    </sheetView>
  </sheetViews>
  <sheetFormatPr defaultRowHeight="13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AF88-C699-43E0-8A79-2599C31BC0AA}">
  <dimension ref="A1:C7"/>
  <sheetViews>
    <sheetView workbookViewId="0">
      <selection activeCell="D13" sqref="D13"/>
    </sheetView>
  </sheetViews>
  <sheetFormatPr defaultRowHeight="14.25" x14ac:dyDescent="0.45"/>
  <cols>
    <col min="1" max="1" width="9" style="30"/>
    <col min="2" max="2" width="23.0625" style="30" customWidth="1"/>
    <col min="3" max="3" width="12" style="30" bestFit="1" customWidth="1"/>
    <col min="4" max="16384" width="9" style="30"/>
  </cols>
  <sheetData>
    <row r="1" spans="1:3" x14ac:dyDescent="0.45">
      <c r="A1" s="29" t="s">
        <v>343</v>
      </c>
      <c r="B1" s="29" t="s">
        <v>428</v>
      </c>
      <c r="C1" s="29" t="s">
        <v>484</v>
      </c>
    </row>
    <row r="2" spans="1:3" x14ac:dyDescent="0.45">
      <c r="A2" s="30">
        <v>1</v>
      </c>
      <c r="B2" s="30" t="s">
        <v>229</v>
      </c>
      <c r="C2" s="30" t="s">
        <v>485</v>
      </c>
    </row>
    <row r="3" spans="1:3" x14ac:dyDescent="0.45">
      <c r="A3" s="30">
        <v>2</v>
      </c>
      <c r="B3" s="30" t="s">
        <v>429</v>
      </c>
      <c r="C3" s="30" t="s">
        <v>486</v>
      </c>
    </row>
    <row r="4" spans="1:3" x14ac:dyDescent="0.45">
      <c r="A4" s="30">
        <v>3</v>
      </c>
      <c r="B4" s="30" t="s">
        <v>430</v>
      </c>
      <c r="C4" s="30" t="s">
        <v>487</v>
      </c>
    </row>
    <row r="5" spans="1:3" x14ac:dyDescent="0.45">
      <c r="A5" s="30">
        <v>4</v>
      </c>
      <c r="B5" s="30" t="s">
        <v>431</v>
      </c>
      <c r="C5" s="30" t="s">
        <v>488</v>
      </c>
    </row>
    <row r="6" spans="1:3" x14ac:dyDescent="0.45">
      <c r="A6" s="30">
        <v>5</v>
      </c>
      <c r="B6" s="30" t="s">
        <v>432</v>
      </c>
      <c r="C6" s="30" t="s">
        <v>489</v>
      </c>
    </row>
    <row r="7" spans="1:3" x14ac:dyDescent="0.45">
      <c r="A7" s="30">
        <v>6</v>
      </c>
      <c r="B7" s="30" t="s">
        <v>433</v>
      </c>
      <c r="C7" s="30" t="s">
        <v>490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A900-CE4D-4CE4-A8D9-1C2BE777472E}">
  <dimension ref="A1:D16"/>
  <sheetViews>
    <sheetView workbookViewId="0">
      <selection activeCell="B15" sqref="B15:B16"/>
    </sheetView>
  </sheetViews>
  <sheetFormatPr defaultRowHeight="14.25" x14ac:dyDescent="0.45"/>
  <cols>
    <col min="1" max="1" width="9" style="30"/>
    <col min="2" max="2" width="38.0625" style="30" customWidth="1"/>
    <col min="3" max="3" width="15.8125" style="30" customWidth="1"/>
    <col min="4" max="4" width="16.6875" style="30" customWidth="1"/>
    <col min="5" max="16384" width="9" style="30"/>
  </cols>
  <sheetData>
    <row r="1" spans="1:4" x14ac:dyDescent="0.45">
      <c r="A1" s="29" t="s">
        <v>343</v>
      </c>
      <c r="B1" s="29" t="s">
        <v>428</v>
      </c>
      <c r="C1" s="29" t="s">
        <v>484</v>
      </c>
      <c r="D1" s="29" t="s">
        <v>571</v>
      </c>
    </row>
    <row r="2" spans="1:4" x14ac:dyDescent="0.45">
      <c r="A2" s="30">
        <v>1</v>
      </c>
      <c r="B2" s="30" t="s">
        <v>434</v>
      </c>
      <c r="C2" s="30" t="s">
        <v>491</v>
      </c>
      <c r="D2" s="30">
        <v>1</v>
      </c>
    </row>
    <row r="3" spans="1:4" x14ac:dyDescent="0.45">
      <c r="A3" s="30">
        <v>2</v>
      </c>
      <c r="B3" s="30" t="s">
        <v>435</v>
      </c>
      <c r="C3" s="30" t="s">
        <v>492</v>
      </c>
      <c r="D3" s="30">
        <v>1</v>
      </c>
    </row>
    <row r="4" spans="1:4" x14ac:dyDescent="0.45">
      <c r="A4" s="30">
        <v>3</v>
      </c>
      <c r="B4" s="30" t="s">
        <v>436</v>
      </c>
      <c r="C4" s="30" t="s">
        <v>493</v>
      </c>
      <c r="D4" s="30">
        <v>2</v>
      </c>
    </row>
    <row r="5" spans="1:4" x14ac:dyDescent="0.45">
      <c r="A5" s="30">
        <v>4</v>
      </c>
      <c r="B5" s="30" t="s">
        <v>437</v>
      </c>
      <c r="C5" s="30" t="s">
        <v>494</v>
      </c>
      <c r="D5" s="30">
        <v>2</v>
      </c>
    </row>
    <row r="6" spans="1:4" x14ac:dyDescent="0.45">
      <c r="A6" s="30">
        <v>5</v>
      </c>
      <c r="B6" s="30" t="s">
        <v>438</v>
      </c>
      <c r="C6" s="30" t="s">
        <v>495</v>
      </c>
      <c r="D6" s="30">
        <v>3</v>
      </c>
    </row>
    <row r="7" spans="1:4" x14ac:dyDescent="0.45">
      <c r="A7" s="30">
        <v>6</v>
      </c>
      <c r="B7" s="30" t="s">
        <v>439</v>
      </c>
      <c r="C7" s="30" t="s">
        <v>496</v>
      </c>
      <c r="D7" s="30">
        <v>3</v>
      </c>
    </row>
    <row r="8" spans="1:4" x14ac:dyDescent="0.45">
      <c r="A8" s="30">
        <v>9</v>
      </c>
      <c r="B8" s="30" t="s">
        <v>440</v>
      </c>
      <c r="C8" s="30" t="s">
        <v>497</v>
      </c>
      <c r="D8" s="30">
        <v>4</v>
      </c>
    </row>
    <row r="9" spans="1:4" x14ac:dyDescent="0.45">
      <c r="A9" s="30">
        <v>10</v>
      </c>
      <c r="B9" s="30" t="s">
        <v>441</v>
      </c>
      <c r="C9" s="30" t="s">
        <v>498</v>
      </c>
      <c r="D9" s="30">
        <v>4</v>
      </c>
    </row>
    <row r="10" spans="1:4" x14ac:dyDescent="0.45">
      <c r="A10" s="30">
        <v>11</v>
      </c>
      <c r="B10" s="30" t="s">
        <v>442</v>
      </c>
      <c r="C10" s="30" t="s">
        <v>499</v>
      </c>
      <c r="D10" s="30">
        <v>5</v>
      </c>
    </row>
    <row r="11" spans="1:4" x14ac:dyDescent="0.45">
      <c r="A11" s="30">
        <v>12</v>
      </c>
      <c r="B11" s="30" t="s">
        <v>443</v>
      </c>
      <c r="C11" s="30" t="s">
        <v>500</v>
      </c>
      <c r="D11" s="30">
        <v>5</v>
      </c>
    </row>
    <row r="12" spans="1:4" x14ac:dyDescent="0.45">
      <c r="A12" s="30">
        <v>13</v>
      </c>
      <c r="B12" s="30" t="s">
        <v>444</v>
      </c>
      <c r="C12" s="30" t="s">
        <v>501</v>
      </c>
      <c r="D12" s="30">
        <v>5</v>
      </c>
    </row>
    <row r="13" spans="1:4" x14ac:dyDescent="0.45">
      <c r="A13" s="30">
        <v>14</v>
      </c>
      <c r="B13" s="30" t="s">
        <v>445</v>
      </c>
      <c r="C13" s="30" t="s">
        <v>502</v>
      </c>
      <c r="D13" s="30">
        <v>5</v>
      </c>
    </row>
    <row r="14" spans="1:4" x14ac:dyDescent="0.45">
      <c r="A14" s="30">
        <v>15</v>
      </c>
      <c r="B14" s="30" t="s">
        <v>446</v>
      </c>
      <c r="C14" s="30" t="s">
        <v>503</v>
      </c>
      <c r="D14" s="30">
        <v>5</v>
      </c>
    </row>
    <row r="15" spans="1:4" x14ac:dyDescent="0.45">
      <c r="A15" s="30">
        <v>16</v>
      </c>
      <c r="B15" s="30" t="s">
        <v>447</v>
      </c>
      <c r="C15" s="30" t="s">
        <v>504</v>
      </c>
      <c r="D15" s="30">
        <v>6</v>
      </c>
    </row>
    <row r="16" spans="1:4" x14ac:dyDescent="0.45">
      <c r="A16" s="30">
        <v>17</v>
      </c>
      <c r="B16" s="30" t="s">
        <v>448</v>
      </c>
      <c r="C16" s="30" t="s">
        <v>505</v>
      </c>
      <c r="D16" s="30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6E13-469F-499D-A856-0BEF7B75BC29}">
  <dimension ref="A1:C8"/>
  <sheetViews>
    <sheetView workbookViewId="0">
      <selection activeCell="C3" sqref="C3"/>
    </sheetView>
  </sheetViews>
  <sheetFormatPr defaultRowHeight="13.5" x14ac:dyDescent="0.35"/>
  <cols>
    <col min="1" max="1" width="3.9375" customWidth="1"/>
    <col min="2" max="2" width="15.375" customWidth="1"/>
    <col min="3" max="3" width="15.5" customWidth="1"/>
  </cols>
  <sheetData>
    <row r="1" spans="1:3" ht="14.25" x14ac:dyDescent="0.35">
      <c r="A1" s="29" t="s">
        <v>343</v>
      </c>
      <c r="B1" s="29" t="s">
        <v>428</v>
      </c>
      <c r="C1" s="29" t="s">
        <v>484</v>
      </c>
    </row>
    <row r="2" spans="1:3" x14ac:dyDescent="0.35">
      <c r="A2">
        <v>1</v>
      </c>
      <c r="B2" t="s">
        <v>506</v>
      </c>
      <c r="C2" t="s">
        <v>513</v>
      </c>
    </row>
    <row r="3" spans="1:3" x14ac:dyDescent="0.35">
      <c r="A3">
        <v>2</v>
      </c>
      <c r="B3" t="s">
        <v>507</v>
      </c>
      <c r="C3" t="s">
        <v>514</v>
      </c>
    </row>
    <row r="4" spans="1:3" x14ac:dyDescent="0.35">
      <c r="A4">
        <v>3</v>
      </c>
      <c r="B4" t="s">
        <v>508</v>
      </c>
      <c r="C4" t="s">
        <v>515</v>
      </c>
    </row>
    <row r="5" spans="1:3" x14ac:dyDescent="0.35">
      <c r="A5">
        <v>4</v>
      </c>
      <c r="B5" t="s">
        <v>509</v>
      </c>
      <c r="C5" t="s">
        <v>516</v>
      </c>
    </row>
    <row r="6" spans="1:3" x14ac:dyDescent="0.35">
      <c r="A6">
        <v>5</v>
      </c>
      <c r="B6" t="s">
        <v>510</v>
      </c>
      <c r="C6" t="s">
        <v>517</v>
      </c>
    </row>
    <row r="7" spans="1:3" x14ac:dyDescent="0.35">
      <c r="A7">
        <v>6</v>
      </c>
      <c r="B7" t="s">
        <v>511</v>
      </c>
      <c r="C7" t="s">
        <v>518</v>
      </c>
    </row>
    <row r="8" spans="1:3" x14ac:dyDescent="0.35">
      <c r="A8">
        <v>7</v>
      </c>
      <c r="B8" t="s">
        <v>512</v>
      </c>
      <c r="C8" t="s">
        <v>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9740-E396-4B21-A660-39F73C7C2F3B}">
  <dimension ref="A1:I66"/>
  <sheetViews>
    <sheetView tabSelected="1" zoomScale="85" zoomScaleNormal="85" workbookViewId="0">
      <selection activeCell="D4" sqref="D4:F5"/>
    </sheetView>
  </sheetViews>
  <sheetFormatPr defaultRowHeight="13.5" x14ac:dyDescent="0.35"/>
  <cols>
    <col min="2" max="2" width="43.875" customWidth="1"/>
    <col min="3" max="3" width="20" customWidth="1"/>
    <col min="6" max="6" width="10.5" customWidth="1"/>
    <col min="7" max="7" width="11.8125" customWidth="1"/>
    <col min="8" max="8" width="11.1875" customWidth="1"/>
    <col min="11" max="11" width="14.3125" customWidth="1"/>
  </cols>
  <sheetData>
    <row r="1" spans="1:9" ht="14.25" x14ac:dyDescent="0.45">
      <c r="A1" t="s">
        <v>343</v>
      </c>
      <c r="B1" t="s">
        <v>344</v>
      </c>
      <c r="C1" t="s">
        <v>345</v>
      </c>
      <c r="D1" s="30" t="s">
        <v>449</v>
      </c>
      <c r="E1" s="30" t="s">
        <v>450</v>
      </c>
      <c r="F1" t="s">
        <v>452</v>
      </c>
      <c r="G1" t="s">
        <v>550</v>
      </c>
      <c r="H1" t="s">
        <v>551</v>
      </c>
      <c r="I1" t="s">
        <v>589</v>
      </c>
    </row>
    <row r="2" spans="1:9" ht="14.25" x14ac:dyDescent="0.45">
      <c r="A2">
        <v>1</v>
      </c>
      <c r="B2" t="s">
        <v>520</v>
      </c>
      <c r="C2" t="str">
        <f>"mdl_"&amp;A2&amp;"_"&amp;H2</f>
        <v>mdl_1_elegant</v>
      </c>
      <c r="D2" s="30">
        <v>0</v>
      </c>
      <c r="E2" s="30">
        <v>0</v>
      </c>
      <c r="F2">
        <v>0.7</v>
      </c>
      <c r="G2" s="30" t="s">
        <v>491</v>
      </c>
      <c r="H2" t="s">
        <v>519</v>
      </c>
    </row>
    <row r="3" spans="1:9" ht="14.25" x14ac:dyDescent="0.45">
      <c r="A3">
        <v>2</v>
      </c>
      <c r="B3" t="s">
        <v>521</v>
      </c>
      <c r="C3" t="str">
        <f t="shared" ref="C3:C66" si="0">"mdl_"&amp;A3&amp;"_"&amp;H3</f>
        <v>mdl_2_elegant</v>
      </c>
      <c r="D3">
        <v>-7</v>
      </c>
      <c r="E3">
        <v>-4</v>
      </c>
      <c r="F3">
        <v>0.7</v>
      </c>
      <c r="G3" s="30" t="s">
        <v>492</v>
      </c>
      <c r="H3" t="s">
        <v>519</v>
      </c>
    </row>
    <row r="4" spans="1:9" ht="14.25" x14ac:dyDescent="0.45">
      <c r="A4">
        <v>3</v>
      </c>
      <c r="B4" t="s">
        <v>346</v>
      </c>
      <c r="C4" t="str">
        <f t="shared" si="0"/>
        <v>mdl_3_aqua</v>
      </c>
      <c r="D4">
        <v>-7</v>
      </c>
      <c r="E4">
        <v>-4</v>
      </c>
      <c r="F4">
        <v>0.7</v>
      </c>
      <c r="G4" s="30" t="s">
        <v>493</v>
      </c>
      <c r="H4" t="s">
        <v>513</v>
      </c>
    </row>
    <row r="5" spans="1:9" ht="14.25" x14ac:dyDescent="0.45">
      <c r="A5">
        <v>4</v>
      </c>
      <c r="B5" t="s">
        <v>451</v>
      </c>
      <c r="C5" t="str">
        <f t="shared" si="0"/>
        <v>mdl_4_aqua</v>
      </c>
      <c r="D5">
        <v>-7</v>
      </c>
      <c r="E5">
        <v>-4</v>
      </c>
      <c r="F5">
        <v>0.7</v>
      </c>
      <c r="G5" s="30" t="s">
        <v>493</v>
      </c>
      <c r="H5" t="s">
        <v>513</v>
      </c>
    </row>
    <row r="6" spans="1:9" ht="14.25" x14ac:dyDescent="0.45">
      <c r="A6">
        <v>5</v>
      </c>
      <c r="B6" t="s">
        <v>552</v>
      </c>
      <c r="C6" t="str">
        <f t="shared" si="0"/>
        <v>mdl_5_cafri</v>
      </c>
      <c r="D6">
        <v>0</v>
      </c>
      <c r="E6">
        <v>0</v>
      </c>
      <c r="F6">
        <v>0.7</v>
      </c>
      <c r="G6" s="30" t="s">
        <v>493</v>
      </c>
      <c r="H6" t="s">
        <v>515</v>
      </c>
    </row>
    <row r="7" spans="1:9" ht="14.25" x14ac:dyDescent="0.45">
      <c r="A7">
        <v>6</v>
      </c>
      <c r="B7" t="s">
        <v>522</v>
      </c>
      <c r="C7" t="str">
        <f t="shared" si="0"/>
        <v>mdl_6_cafri</v>
      </c>
      <c r="D7">
        <v>0</v>
      </c>
      <c r="E7">
        <v>0</v>
      </c>
      <c r="F7">
        <v>0.7</v>
      </c>
      <c r="G7" s="30" t="s">
        <v>493</v>
      </c>
      <c r="H7" t="s">
        <v>515</v>
      </c>
    </row>
    <row r="8" spans="1:9" ht="14.25" x14ac:dyDescent="0.45">
      <c r="A8">
        <v>7</v>
      </c>
      <c r="B8" t="s">
        <v>553</v>
      </c>
      <c r="C8" t="str">
        <f t="shared" si="0"/>
        <v>mdl_7_genealogic</v>
      </c>
      <c r="D8">
        <v>0</v>
      </c>
      <c r="E8">
        <v>0</v>
      </c>
      <c r="F8">
        <v>0.7</v>
      </c>
      <c r="G8" s="30" t="s">
        <v>493</v>
      </c>
      <c r="H8" t="s">
        <v>516</v>
      </c>
    </row>
    <row r="9" spans="1:9" ht="14.25" x14ac:dyDescent="0.45">
      <c r="A9">
        <v>8</v>
      </c>
      <c r="B9" t="s">
        <v>523</v>
      </c>
      <c r="C9" t="str">
        <f t="shared" si="0"/>
        <v>mdl_8_genealogic</v>
      </c>
      <c r="D9">
        <v>0</v>
      </c>
      <c r="E9">
        <v>0</v>
      </c>
      <c r="F9">
        <v>0.7</v>
      </c>
      <c r="G9" s="30" t="s">
        <v>493</v>
      </c>
      <c r="H9" t="s">
        <v>516</v>
      </c>
    </row>
    <row r="10" spans="1:9" ht="14.25" x14ac:dyDescent="0.45">
      <c r="A10">
        <v>9</v>
      </c>
      <c r="B10" t="s">
        <v>554</v>
      </c>
      <c r="C10" t="str">
        <f t="shared" si="0"/>
        <v>mdl_9_newage</v>
      </c>
      <c r="D10">
        <v>0</v>
      </c>
      <c r="E10">
        <v>0</v>
      </c>
      <c r="F10">
        <v>0.7</v>
      </c>
      <c r="G10" s="30" t="s">
        <v>493</v>
      </c>
      <c r="H10" t="s">
        <v>517</v>
      </c>
    </row>
    <row r="11" spans="1:9" ht="14.25" x14ac:dyDescent="0.45">
      <c r="A11">
        <v>10</v>
      </c>
      <c r="B11" t="s">
        <v>524</v>
      </c>
      <c r="C11" t="str">
        <f t="shared" si="0"/>
        <v>mdl_10_newage</v>
      </c>
      <c r="D11">
        <v>0</v>
      </c>
      <c r="E11">
        <v>0</v>
      </c>
      <c r="F11">
        <v>0.7</v>
      </c>
      <c r="G11" s="30" t="s">
        <v>493</v>
      </c>
      <c r="H11" t="s">
        <v>517</v>
      </c>
    </row>
    <row r="12" spans="1:9" ht="14.25" x14ac:dyDescent="0.45">
      <c r="A12">
        <v>11</v>
      </c>
      <c r="B12" t="s">
        <v>555</v>
      </c>
      <c r="C12" t="str">
        <f t="shared" si="0"/>
        <v>mdl_11_mosdi</v>
      </c>
      <c r="D12">
        <v>0</v>
      </c>
      <c r="E12">
        <v>0</v>
      </c>
      <c r="F12">
        <v>0.7</v>
      </c>
      <c r="G12" s="30" t="s">
        <v>493</v>
      </c>
      <c r="H12" t="s">
        <v>518</v>
      </c>
    </row>
    <row r="13" spans="1:9" ht="14.25" x14ac:dyDescent="0.45">
      <c r="A13">
        <v>12</v>
      </c>
      <c r="B13" t="s">
        <v>556</v>
      </c>
      <c r="C13" t="str">
        <f t="shared" si="0"/>
        <v>mdl_12_mosdi</v>
      </c>
      <c r="D13">
        <v>0</v>
      </c>
      <c r="E13">
        <v>0</v>
      </c>
      <c r="F13">
        <v>0.7</v>
      </c>
      <c r="G13" s="30" t="s">
        <v>493</v>
      </c>
      <c r="H13" t="s">
        <v>518</v>
      </c>
    </row>
    <row r="14" spans="1:9" ht="14.25" x14ac:dyDescent="0.45">
      <c r="A14">
        <v>13</v>
      </c>
      <c r="B14" t="s">
        <v>557</v>
      </c>
      <c r="C14" t="str">
        <f t="shared" si="0"/>
        <v>mdl_13_mosdi</v>
      </c>
      <c r="D14">
        <v>0</v>
      </c>
      <c r="E14">
        <v>0</v>
      </c>
      <c r="F14">
        <v>0.7</v>
      </c>
      <c r="G14" s="30" t="s">
        <v>493</v>
      </c>
      <c r="H14" t="s">
        <v>518</v>
      </c>
    </row>
    <row r="15" spans="1:9" ht="14.25" x14ac:dyDescent="0.45">
      <c r="A15">
        <v>14</v>
      </c>
      <c r="B15" t="s">
        <v>558</v>
      </c>
      <c r="C15" t="str">
        <f t="shared" si="0"/>
        <v>mdl_14_mosdi</v>
      </c>
      <c r="D15">
        <v>0</v>
      </c>
      <c r="E15">
        <v>0</v>
      </c>
      <c r="F15">
        <v>0.7</v>
      </c>
      <c r="G15" s="30" t="s">
        <v>493</v>
      </c>
      <c r="H15" t="s">
        <v>518</v>
      </c>
    </row>
    <row r="16" spans="1:9" ht="14.25" x14ac:dyDescent="0.45">
      <c r="A16">
        <v>15</v>
      </c>
      <c r="B16" t="s">
        <v>559</v>
      </c>
      <c r="C16" t="str">
        <f t="shared" si="0"/>
        <v>mdl_15_aqua</v>
      </c>
      <c r="D16">
        <v>0</v>
      </c>
      <c r="E16">
        <v>0</v>
      </c>
      <c r="F16">
        <v>0.7</v>
      </c>
      <c r="G16" s="30" t="s">
        <v>494</v>
      </c>
      <c r="H16" t="s">
        <v>513</v>
      </c>
    </row>
    <row r="17" spans="1:8" ht="14.25" x14ac:dyDescent="0.45">
      <c r="A17">
        <v>16</v>
      </c>
      <c r="B17" t="s">
        <v>560</v>
      </c>
      <c r="C17" t="str">
        <f t="shared" si="0"/>
        <v>mdl_16_aqua</v>
      </c>
      <c r="D17">
        <v>0</v>
      </c>
      <c r="E17">
        <v>0</v>
      </c>
      <c r="F17">
        <v>0.7</v>
      </c>
      <c r="G17" s="30" t="s">
        <v>494</v>
      </c>
      <c r="H17" t="s">
        <v>513</v>
      </c>
    </row>
    <row r="18" spans="1:8" ht="14.25" x14ac:dyDescent="0.45">
      <c r="A18">
        <v>17</v>
      </c>
      <c r="B18" t="s">
        <v>566</v>
      </c>
      <c r="C18" t="str">
        <f t="shared" si="0"/>
        <v>mdl_17_cafri</v>
      </c>
      <c r="D18">
        <v>0</v>
      </c>
      <c r="E18">
        <v>0</v>
      </c>
      <c r="F18">
        <v>0.7</v>
      </c>
      <c r="G18" s="30" t="s">
        <v>494</v>
      </c>
      <c r="H18" t="s">
        <v>515</v>
      </c>
    </row>
    <row r="19" spans="1:8" ht="14.25" x14ac:dyDescent="0.45">
      <c r="A19">
        <v>18</v>
      </c>
      <c r="B19" t="s">
        <v>561</v>
      </c>
      <c r="C19" t="str">
        <f t="shared" si="0"/>
        <v>mdl_18_cafri</v>
      </c>
      <c r="D19">
        <v>0</v>
      </c>
      <c r="E19">
        <v>0</v>
      </c>
      <c r="F19">
        <v>0.7</v>
      </c>
      <c r="G19" s="30" t="s">
        <v>494</v>
      </c>
      <c r="H19" t="s">
        <v>515</v>
      </c>
    </row>
    <row r="20" spans="1:8" ht="14.25" x14ac:dyDescent="0.45">
      <c r="A20">
        <v>19</v>
      </c>
      <c r="B20" t="s">
        <v>562</v>
      </c>
      <c r="C20" t="str">
        <f t="shared" si="0"/>
        <v>mdl_19_genealogic</v>
      </c>
      <c r="D20">
        <v>0</v>
      </c>
      <c r="E20">
        <v>0</v>
      </c>
      <c r="F20">
        <v>0.7</v>
      </c>
      <c r="G20" s="30" t="s">
        <v>494</v>
      </c>
      <c r="H20" t="s">
        <v>516</v>
      </c>
    </row>
    <row r="21" spans="1:8" ht="14.25" x14ac:dyDescent="0.45">
      <c r="A21">
        <v>20</v>
      </c>
      <c r="B21" t="s">
        <v>563</v>
      </c>
      <c r="C21" t="str">
        <f t="shared" si="0"/>
        <v>mdl_20_genealogic</v>
      </c>
      <c r="D21">
        <v>0</v>
      </c>
      <c r="E21">
        <v>0</v>
      </c>
      <c r="F21">
        <v>0.7</v>
      </c>
      <c r="G21" s="30" t="s">
        <v>494</v>
      </c>
      <c r="H21" t="s">
        <v>516</v>
      </c>
    </row>
    <row r="22" spans="1:8" ht="14.25" x14ac:dyDescent="0.45">
      <c r="A22">
        <v>21</v>
      </c>
      <c r="B22" t="s">
        <v>564</v>
      </c>
      <c r="C22" t="str">
        <f t="shared" si="0"/>
        <v>mdl_21_newage</v>
      </c>
      <c r="D22">
        <v>0</v>
      </c>
      <c r="E22">
        <v>0</v>
      </c>
      <c r="F22">
        <v>0.7</v>
      </c>
      <c r="G22" s="30" t="s">
        <v>494</v>
      </c>
      <c r="H22" t="s">
        <v>517</v>
      </c>
    </row>
    <row r="23" spans="1:8" ht="14.25" x14ac:dyDescent="0.45">
      <c r="A23">
        <v>22</v>
      </c>
      <c r="B23" t="s">
        <v>565</v>
      </c>
      <c r="C23" t="str">
        <f t="shared" si="0"/>
        <v>mdl_22_newage</v>
      </c>
      <c r="D23">
        <v>0</v>
      </c>
      <c r="E23">
        <v>0</v>
      </c>
      <c r="F23">
        <v>0.7</v>
      </c>
      <c r="G23" s="30" t="s">
        <v>494</v>
      </c>
      <c r="H23" t="s">
        <v>517</v>
      </c>
    </row>
    <row r="24" spans="1:8" ht="14.25" x14ac:dyDescent="0.45">
      <c r="A24">
        <v>23</v>
      </c>
      <c r="B24" t="s">
        <v>567</v>
      </c>
      <c r="C24" t="str">
        <f t="shared" si="0"/>
        <v>mdl_23_mosdi</v>
      </c>
      <c r="D24">
        <v>0</v>
      </c>
      <c r="E24">
        <v>0</v>
      </c>
      <c r="F24">
        <v>0.7</v>
      </c>
      <c r="G24" s="30" t="s">
        <v>494</v>
      </c>
      <c r="H24" t="s">
        <v>518</v>
      </c>
    </row>
    <row r="25" spans="1:8" ht="14.25" x14ac:dyDescent="0.45">
      <c r="A25">
        <v>24</v>
      </c>
      <c r="B25" t="s">
        <v>568</v>
      </c>
      <c r="C25" t="str">
        <f t="shared" si="0"/>
        <v>mdl_24_mosdi</v>
      </c>
      <c r="D25">
        <v>0</v>
      </c>
      <c r="E25">
        <v>0</v>
      </c>
      <c r="F25">
        <v>0.7</v>
      </c>
      <c r="G25" s="30" t="s">
        <v>494</v>
      </c>
      <c r="H25" t="s">
        <v>518</v>
      </c>
    </row>
    <row r="26" spans="1:8" ht="14.25" x14ac:dyDescent="0.45">
      <c r="A26">
        <v>25</v>
      </c>
      <c r="B26" t="s">
        <v>569</v>
      </c>
      <c r="C26" t="str">
        <f t="shared" si="0"/>
        <v>mdl_25_mosdi</v>
      </c>
      <c r="D26">
        <v>0</v>
      </c>
      <c r="E26">
        <v>0</v>
      </c>
      <c r="F26">
        <v>0.7</v>
      </c>
      <c r="G26" s="30" t="s">
        <v>494</v>
      </c>
      <c r="H26" t="s">
        <v>518</v>
      </c>
    </row>
    <row r="27" spans="1:8" ht="14.25" x14ac:dyDescent="0.45">
      <c r="A27">
        <v>26</v>
      </c>
      <c r="B27" t="s">
        <v>570</v>
      </c>
      <c r="C27" t="str">
        <f t="shared" si="0"/>
        <v>mdl_26_mosdi</v>
      </c>
      <c r="D27">
        <v>0</v>
      </c>
      <c r="E27">
        <v>0</v>
      </c>
      <c r="F27">
        <v>0.7</v>
      </c>
      <c r="G27" s="30" t="s">
        <v>494</v>
      </c>
      <c r="H27" t="s">
        <v>518</v>
      </c>
    </row>
    <row r="28" spans="1:8" ht="14.25" x14ac:dyDescent="0.45">
      <c r="A28">
        <v>27</v>
      </c>
      <c r="B28" t="s">
        <v>525</v>
      </c>
      <c r="C28" t="str">
        <f t="shared" si="0"/>
        <v>mdl_27_aqua</v>
      </c>
      <c r="D28">
        <v>0</v>
      </c>
      <c r="E28">
        <v>0</v>
      </c>
      <c r="F28">
        <v>0.7</v>
      </c>
      <c r="G28" s="30" t="s">
        <v>495</v>
      </c>
      <c r="H28" t="s">
        <v>513</v>
      </c>
    </row>
    <row r="29" spans="1:8" ht="14.25" x14ac:dyDescent="0.45">
      <c r="A29">
        <v>28</v>
      </c>
      <c r="B29" t="s">
        <v>526</v>
      </c>
      <c r="C29" t="str">
        <f t="shared" si="0"/>
        <v>mdl_28_genealogic</v>
      </c>
      <c r="D29">
        <v>0</v>
      </c>
      <c r="E29">
        <v>0</v>
      </c>
      <c r="F29">
        <v>0.7</v>
      </c>
      <c r="G29" s="30" t="s">
        <v>495</v>
      </c>
      <c r="H29" t="s">
        <v>516</v>
      </c>
    </row>
    <row r="30" spans="1:8" ht="14.25" x14ac:dyDescent="0.45">
      <c r="A30">
        <v>29</v>
      </c>
      <c r="B30" t="s">
        <v>527</v>
      </c>
      <c r="C30" t="str">
        <f t="shared" si="0"/>
        <v>mdl_29_newage</v>
      </c>
      <c r="D30">
        <v>0</v>
      </c>
      <c r="E30">
        <v>0</v>
      </c>
      <c r="F30">
        <v>0.7</v>
      </c>
      <c r="G30" s="30" t="s">
        <v>495</v>
      </c>
      <c r="H30" t="s">
        <v>517</v>
      </c>
    </row>
    <row r="31" spans="1:8" ht="14.25" x14ac:dyDescent="0.45">
      <c r="A31">
        <v>30</v>
      </c>
      <c r="B31" t="s">
        <v>572</v>
      </c>
      <c r="C31" t="str">
        <f t="shared" si="0"/>
        <v>mdl_30_aqua</v>
      </c>
      <c r="D31">
        <v>0</v>
      </c>
      <c r="E31">
        <v>0</v>
      </c>
      <c r="F31">
        <v>0.7</v>
      </c>
      <c r="G31" s="30" t="s">
        <v>495</v>
      </c>
      <c r="H31" t="s">
        <v>513</v>
      </c>
    </row>
    <row r="32" spans="1:8" ht="14.25" x14ac:dyDescent="0.45">
      <c r="A32">
        <v>31</v>
      </c>
      <c r="B32" t="s">
        <v>573</v>
      </c>
      <c r="C32" t="str">
        <f t="shared" si="0"/>
        <v>mdl_31_genealogic</v>
      </c>
      <c r="D32">
        <v>0</v>
      </c>
      <c r="E32">
        <v>0</v>
      </c>
      <c r="F32">
        <v>0.7</v>
      </c>
      <c r="G32" s="30" t="s">
        <v>495</v>
      </c>
      <c r="H32" t="s">
        <v>516</v>
      </c>
    </row>
    <row r="33" spans="1:8" ht="14.25" x14ac:dyDescent="0.45">
      <c r="A33">
        <v>32</v>
      </c>
      <c r="B33" t="s">
        <v>574</v>
      </c>
      <c r="C33" t="str">
        <f t="shared" si="0"/>
        <v>mdl_32_newage</v>
      </c>
      <c r="D33">
        <v>0</v>
      </c>
      <c r="E33">
        <v>0</v>
      </c>
      <c r="F33">
        <v>0.7</v>
      </c>
      <c r="G33" s="30" t="s">
        <v>495</v>
      </c>
      <c r="H33" t="s">
        <v>517</v>
      </c>
    </row>
    <row r="34" spans="1:8" ht="14.25" x14ac:dyDescent="0.45">
      <c r="A34">
        <v>33</v>
      </c>
      <c r="B34" t="s">
        <v>575</v>
      </c>
      <c r="C34" t="str">
        <f t="shared" si="0"/>
        <v>mdl_33_aqua</v>
      </c>
      <c r="D34">
        <v>0</v>
      </c>
      <c r="E34">
        <v>0</v>
      </c>
      <c r="F34">
        <v>0.7</v>
      </c>
      <c r="G34" s="30" t="s">
        <v>496</v>
      </c>
      <c r="H34" t="s">
        <v>513</v>
      </c>
    </row>
    <row r="35" spans="1:8" ht="14.25" x14ac:dyDescent="0.45">
      <c r="A35">
        <v>34</v>
      </c>
      <c r="B35" t="s">
        <v>576</v>
      </c>
      <c r="C35" t="str">
        <f t="shared" si="0"/>
        <v>mdl_34_genealogic</v>
      </c>
      <c r="D35">
        <v>0</v>
      </c>
      <c r="E35">
        <v>0</v>
      </c>
      <c r="F35">
        <v>0.7</v>
      </c>
      <c r="G35" s="30" t="s">
        <v>496</v>
      </c>
      <c r="H35" t="s">
        <v>516</v>
      </c>
    </row>
    <row r="36" spans="1:8" ht="14.25" x14ac:dyDescent="0.45">
      <c r="A36">
        <v>35</v>
      </c>
      <c r="B36" t="s">
        <v>577</v>
      </c>
      <c r="C36" t="str">
        <f t="shared" si="0"/>
        <v>mdl_35_newage</v>
      </c>
      <c r="D36">
        <v>0</v>
      </c>
      <c r="E36">
        <v>0</v>
      </c>
      <c r="F36">
        <v>0.7</v>
      </c>
      <c r="G36" s="30" t="s">
        <v>496</v>
      </c>
      <c r="H36" t="s">
        <v>517</v>
      </c>
    </row>
    <row r="37" spans="1:8" ht="14.25" x14ac:dyDescent="0.45">
      <c r="A37">
        <v>36</v>
      </c>
      <c r="B37" t="s">
        <v>578</v>
      </c>
      <c r="C37" t="str">
        <f t="shared" si="0"/>
        <v>mdl_36_elegant</v>
      </c>
      <c r="D37">
        <v>0</v>
      </c>
      <c r="E37">
        <v>0</v>
      </c>
      <c r="F37">
        <v>0.7</v>
      </c>
      <c r="G37" s="30" t="s">
        <v>496</v>
      </c>
      <c r="H37" t="s">
        <v>519</v>
      </c>
    </row>
    <row r="38" spans="1:8" ht="14.25" x14ac:dyDescent="0.45">
      <c r="A38">
        <v>37</v>
      </c>
      <c r="B38" t="s">
        <v>575</v>
      </c>
      <c r="C38" t="str">
        <f t="shared" si="0"/>
        <v>mdl_37_aqua</v>
      </c>
      <c r="D38">
        <v>0</v>
      </c>
      <c r="E38">
        <v>0</v>
      </c>
      <c r="F38">
        <v>0.7</v>
      </c>
      <c r="G38" s="30" t="s">
        <v>496</v>
      </c>
      <c r="H38" t="s">
        <v>513</v>
      </c>
    </row>
    <row r="39" spans="1:8" ht="14.25" x14ac:dyDescent="0.45">
      <c r="A39">
        <v>38</v>
      </c>
      <c r="B39" t="s">
        <v>576</v>
      </c>
      <c r="C39" t="str">
        <f t="shared" si="0"/>
        <v>mdl_38_genealogic</v>
      </c>
      <c r="D39">
        <v>0</v>
      </c>
      <c r="E39">
        <v>0</v>
      </c>
      <c r="F39">
        <v>0.7</v>
      </c>
      <c r="G39" s="30" t="s">
        <v>496</v>
      </c>
      <c r="H39" t="s">
        <v>516</v>
      </c>
    </row>
    <row r="40" spans="1:8" ht="14.25" x14ac:dyDescent="0.45">
      <c r="A40">
        <v>39</v>
      </c>
      <c r="B40" t="s">
        <v>577</v>
      </c>
      <c r="C40" t="str">
        <f t="shared" si="0"/>
        <v>mdl_39_newage</v>
      </c>
      <c r="D40">
        <v>0</v>
      </c>
      <c r="E40">
        <v>0</v>
      </c>
      <c r="F40">
        <v>0.7</v>
      </c>
      <c r="G40" s="30" t="s">
        <v>496</v>
      </c>
      <c r="H40" t="s">
        <v>517</v>
      </c>
    </row>
    <row r="41" spans="1:8" ht="14.25" x14ac:dyDescent="0.45">
      <c r="A41">
        <v>40</v>
      </c>
      <c r="B41" t="s">
        <v>578</v>
      </c>
      <c r="C41" t="str">
        <f t="shared" si="0"/>
        <v>mdl_40_elegant</v>
      </c>
      <c r="D41">
        <v>0</v>
      </c>
      <c r="E41">
        <v>0</v>
      </c>
      <c r="F41">
        <v>0.7</v>
      </c>
      <c r="G41" s="30" t="s">
        <v>496</v>
      </c>
      <c r="H41" t="s">
        <v>519</v>
      </c>
    </row>
    <row r="42" spans="1:8" ht="14.25" x14ac:dyDescent="0.45">
      <c r="A42">
        <v>41</v>
      </c>
      <c r="B42" t="s">
        <v>528</v>
      </c>
      <c r="C42" t="str">
        <f t="shared" si="0"/>
        <v>mdl_41_aqua</v>
      </c>
      <c r="D42">
        <v>0</v>
      </c>
      <c r="E42">
        <v>0</v>
      </c>
      <c r="F42">
        <v>0.7</v>
      </c>
      <c r="G42" s="30" t="s">
        <v>497</v>
      </c>
      <c r="H42" t="s">
        <v>513</v>
      </c>
    </row>
    <row r="43" spans="1:8" ht="14.25" x14ac:dyDescent="0.45">
      <c r="A43">
        <v>42</v>
      </c>
      <c r="B43" t="s">
        <v>529</v>
      </c>
      <c r="C43" t="str">
        <f t="shared" si="0"/>
        <v>mdl_42_genealogic</v>
      </c>
      <c r="D43">
        <v>0</v>
      </c>
      <c r="E43">
        <v>0</v>
      </c>
      <c r="F43">
        <v>0.7</v>
      </c>
      <c r="G43" s="30" t="s">
        <v>497</v>
      </c>
      <c r="H43" t="s">
        <v>516</v>
      </c>
    </row>
    <row r="44" spans="1:8" ht="14.25" x14ac:dyDescent="0.45">
      <c r="A44">
        <v>43</v>
      </c>
      <c r="B44" t="s">
        <v>530</v>
      </c>
      <c r="C44" t="str">
        <f t="shared" si="0"/>
        <v>mdl_43_newage</v>
      </c>
      <c r="D44">
        <v>0</v>
      </c>
      <c r="E44">
        <v>0</v>
      </c>
      <c r="F44">
        <v>0.7</v>
      </c>
      <c r="G44" s="30" t="s">
        <v>497</v>
      </c>
      <c r="H44" t="s">
        <v>517</v>
      </c>
    </row>
    <row r="45" spans="1:8" ht="14.25" x14ac:dyDescent="0.45">
      <c r="A45">
        <v>44</v>
      </c>
      <c r="B45" t="s">
        <v>531</v>
      </c>
      <c r="C45" t="str">
        <f t="shared" si="0"/>
        <v>mdl_44_aqua</v>
      </c>
      <c r="D45">
        <v>0</v>
      </c>
      <c r="E45">
        <v>0</v>
      </c>
      <c r="F45">
        <v>0.7</v>
      </c>
      <c r="G45" s="30" t="s">
        <v>498</v>
      </c>
      <c r="H45" t="s">
        <v>513</v>
      </c>
    </row>
    <row r="46" spans="1:8" ht="14.25" x14ac:dyDescent="0.45">
      <c r="A46">
        <v>45</v>
      </c>
      <c r="B46" t="s">
        <v>532</v>
      </c>
      <c r="C46" t="str">
        <f t="shared" si="0"/>
        <v>mdl_45_genealogic</v>
      </c>
      <c r="D46">
        <v>0</v>
      </c>
      <c r="E46">
        <v>0</v>
      </c>
      <c r="F46">
        <v>0.7</v>
      </c>
      <c r="G46" s="30" t="s">
        <v>498</v>
      </c>
      <c r="H46" t="s">
        <v>516</v>
      </c>
    </row>
    <row r="47" spans="1:8" ht="14.25" x14ac:dyDescent="0.45">
      <c r="A47">
        <v>46</v>
      </c>
      <c r="B47" t="s">
        <v>533</v>
      </c>
      <c r="C47" t="str">
        <f t="shared" si="0"/>
        <v>mdl_46_newage</v>
      </c>
      <c r="D47">
        <v>0</v>
      </c>
      <c r="E47">
        <v>0</v>
      </c>
      <c r="F47">
        <v>0.7</v>
      </c>
      <c r="G47" s="30" t="s">
        <v>498</v>
      </c>
      <c r="H47" t="s">
        <v>517</v>
      </c>
    </row>
    <row r="48" spans="1:8" ht="14.25" x14ac:dyDescent="0.45">
      <c r="A48">
        <v>47</v>
      </c>
      <c r="B48" t="s">
        <v>534</v>
      </c>
      <c r="C48" t="str">
        <f t="shared" si="0"/>
        <v>mdl_47_aqua</v>
      </c>
      <c r="D48">
        <v>0</v>
      </c>
      <c r="E48">
        <v>0</v>
      </c>
      <c r="F48">
        <v>0.7</v>
      </c>
      <c r="G48" s="30" t="s">
        <v>499</v>
      </c>
      <c r="H48" t="s">
        <v>513</v>
      </c>
    </row>
    <row r="49" spans="1:8" ht="14.25" x14ac:dyDescent="0.45">
      <c r="A49">
        <v>48</v>
      </c>
      <c r="B49" t="s">
        <v>535</v>
      </c>
      <c r="C49" t="str">
        <f t="shared" si="0"/>
        <v>mdl_48_classic</v>
      </c>
      <c r="D49">
        <v>0</v>
      </c>
      <c r="E49">
        <v>0</v>
      </c>
      <c r="F49">
        <v>0.7</v>
      </c>
      <c r="G49" s="30" t="s">
        <v>499</v>
      </c>
      <c r="H49" t="s">
        <v>514</v>
      </c>
    </row>
    <row r="50" spans="1:8" ht="14.25" x14ac:dyDescent="0.45">
      <c r="A50">
        <v>49</v>
      </c>
      <c r="B50" t="s">
        <v>536</v>
      </c>
      <c r="C50" t="str">
        <f t="shared" si="0"/>
        <v>mdl_49_cafri</v>
      </c>
      <c r="D50">
        <v>0</v>
      </c>
      <c r="E50">
        <v>0</v>
      </c>
      <c r="F50">
        <v>0.7</v>
      </c>
      <c r="G50" s="30" t="s">
        <v>499</v>
      </c>
      <c r="H50" t="s">
        <v>515</v>
      </c>
    </row>
    <row r="51" spans="1:8" ht="14.25" x14ac:dyDescent="0.45">
      <c r="A51">
        <v>50</v>
      </c>
      <c r="B51" t="s">
        <v>537</v>
      </c>
      <c r="C51" t="str">
        <f t="shared" si="0"/>
        <v>mdl_50_genealogic</v>
      </c>
      <c r="D51">
        <v>0</v>
      </c>
      <c r="E51">
        <v>0</v>
      </c>
      <c r="F51">
        <v>0.7</v>
      </c>
      <c r="G51" s="30" t="s">
        <v>499</v>
      </c>
      <c r="H51" t="s">
        <v>516</v>
      </c>
    </row>
    <row r="52" spans="1:8" ht="14.25" x14ac:dyDescent="0.45">
      <c r="A52">
        <v>51</v>
      </c>
      <c r="B52" t="s">
        <v>538</v>
      </c>
      <c r="C52" t="str">
        <f t="shared" si="0"/>
        <v>mdl_51_newage</v>
      </c>
      <c r="D52">
        <v>0</v>
      </c>
      <c r="E52">
        <v>0</v>
      </c>
      <c r="F52">
        <v>0.7</v>
      </c>
      <c r="G52" s="30" t="s">
        <v>499</v>
      </c>
      <c r="H52" t="s">
        <v>517</v>
      </c>
    </row>
    <row r="53" spans="1:8" ht="14.25" x14ac:dyDescent="0.45">
      <c r="A53">
        <v>52</v>
      </c>
      <c r="B53" t="s">
        <v>461</v>
      </c>
      <c r="C53" t="str">
        <f t="shared" si="0"/>
        <v>mdl_52_aqua</v>
      </c>
      <c r="D53">
        <v>0</v>
      </c>
      <c r="E53">
        <v>0</v>
      </c>
      <c r="F53">
        <v>0.7</v>
      </c>
      <c r="G53" s="30" t="s">
        <v>500</v>
      </c>
      <c r="H53" t="s">
        <v>513</v>
      </c>
    </row>
    <row r="54" spans="1:8" ht="14.25" x14ac:dyDescent="0.45">
      <c r="A54">
        <v>53</v>
      </c>
      <c r="B54" t="s">
        <v>539</v>
      </c>
      <c r="C54" t="str">
        <f t="shared" si="0"/>
        <v>mdl_53_genealogic</v>
      </c>
      <c r="D54">
        <v>0</v>
      </c>
      <c r="E54">
        <v>0</v>
      </c>
      <c r="F54">
        <v>0.7</v>
      </c>
      <c r="G54" s="30" t="s">
        <v>500</v>
      </c>
      <c r="H54" t="s">
        <v>516</v>
      </c>
    </row>
    <row r="55" spans="1:8" ht="14.25" x14ac:dyDescent="0.45">
      <c r="A55">
        <v>54</v>
      </c>
      <c r="B55" t="s">
        <v>540</v>
      </c>
      <c r="C55" t="str">
        <f t="shared" si="0"/>
        <v>mdl_54_newage</v>
      </c>
      <c r="D55">
        <v>0</v>
      </c>
      <c r="E55">
        <v>0</v>
      </c>
      <c r="F55">
        <v>0.7</v>
      </c>
      <c r="G55" s="30" t="s">
        <v>500</v>
      </c>
      <c r="H55" t="s">
        <v>517</v>
      </c>
    </row>
    <row r="56" spans="1:8" ht="14.25" x14ac:dyDescent="0.45">
      <c r="A56">
        <v>55</v>
      </c>
      <c r="B56" t="s">
        <v>541</v>
      </c>
      <c r="C56" t="str">
        <f t="shared" si="0"/>
        <v>mdl_55_aqua</v>
      </c>
      <c r="D56">
        <v>0</v>
      </c>
      <c r="E56">
        <v>0</v>
      </c>
      <c r="F56">
        <v>0.7</v>
      </c>
      <c r="G56" s="30" t="s">
        <v>501</v>
      </c>
      <c r="H56" t="s">
        <v>513</v>
      </c>
    </row>
    <row r="57" spans="1:8" ht="14.25" x14ac:dyDescent="0.45">
      <c r="A57">
        <v>56</v>
      </c>
      <c r="B57" t="s">
        <v>542</v>
      </c>
      <c r="C57" t="str">
        <f t="shared" si="0"/>
        <v>mdl_56_genealogic</v>
      </c>
      <c r="D57">
        <v>0</v>
      </c>
      <c r="E57">
        <v>0</v>
      </c>
      <c r="F57">
        <v>0.7</v>
      </c>
      <c r="G57" s="30" t="s">
        <v>501</v>
      </c>
      <c r="H57" t="s">
        <v>516</v>
      </c>
    </row>
    <row r="58" spans="1:8" ht="14.25" x14ac:dyDescent="0.45">
      <c r="A58">
        <v>57</v>
      </c>
      <c r="B58" t="s">
        <v>543</v>
      </c>
      <c r="C58" t="str">
        <f t="shared" si="0"/>
        <v>mdl_57_newage</v>
      </c>
      <c r="D58">
        <v>0</v>
      </c>
      <c r="E58">
        <v>0</v>
      </c>
      <c r="F58">
        <v>0.7</v>
      </c>
      <c r="G58" s="30" t="s">
        <v>501</v>
      </c>
      <c r="H58" t="s">
        <v>517</v>
      </c>
    </row>
    <row r="59" spans="1:8" ht="14.25" x14ac:dyDescent="0.45">
      <c r="A59">
        <v>58</v>
      </c>
      <c r="B59" t="s">
        <v>544</v>
      </c>
      <c r="C59" t="str">
        <f t="shared" si="0"/>
        <v>mdl_58_aqua</v>
      </c>
      <c r="D59">
        <v>0</v>
      </c>
      <c r="E59">
        <v>0</v>
      </c>
      <c r="F59">
        <v>0.7</v>
      </c>
      <c r="G59" s="30" t="s">
        <v>502</v>
      </c>
      <c r="H59" t="s">
        <v>513</v>
      </c>
    </row>
    <row r="60" spans="1:8" ht="14.25" x14ac:dyDescent="0.45">
      <c r="A60">
        <v>59</v>
      </c>
      <c r="B60" t="s">
        <v>545</v>
      </c>
      <c r="C60" t="str">
        <f t="shared" si="0"/>
        <v>mdl_59_genealogic</v>
      </c>
      <c r="D60">
        <v>0</v>
      </c>
      <c r="E60">
        <v>0</v>
      </c>
      <c r="F60">
        <v>0.7</v>
      </c>
      <c r="G60" s="30" t="s">
        <v>502</v>
      </c>
      <c r="H60" t="s">
        <v>516</v>
      </c>
    </row>
    <row r="61" spans="1:8" ht="14.25" x14ac:dyDescent="0.45">
      <c r="A61">
        <v>60</v>
      </c>
      <c r="B61" t="s">
        <v>546</v>
      </c>
      <c r="C61" t="str">
        <f t="shared" si="0"/>
        <v>mdl_60_newage</v>
      </c>
      <c r="D61">
        <v>0</v>
      </c>
      <c r="E61">
        <v>0</v>
      </c>
      <c r="F61">
        <v>0.7</v>
      </c>
      <c r="G61" s="30" t="s">
        <v>502</v>
      </c>
      <c r="H61" t="s">
        <v>517</v>
      </c>
    </row>
    <row r="62" spans="1:8" ht="14.25" x14ac:dyDescent="0.45">
      <c r="A62">
        <v>61</v>
      </c>
      <c r="B62" t="s">
        <v>547</v>
      </c>
      <c r="C62" t="str">
        <f t="shared" si="0"/>
        <v>mdl_61_aqua</v>
      </c>
      <c r="D62">
        <v>0</v>
      </c>
      <c r="E62">
        <v>0</v>
      </c>
      <c r="F62">
        <v>0.7</v>
      </c>
      <c r="G62" s="30" t="s">
        <v>503</v>
      </c>
      <c r="H62" t="s">
        <v>513</v>
      </c>
    </row>
    <row r="63" spans="1:8" ht="14.25" x14ac:dyDescent="0.45">
      <c r="A63">
        <v>62</v>
      </c>
      <c r="B63" t="s">
        <v>548</v>
      </c>
      <c r="C63" t="str">
        <f t="shared" si="0"/>
        <v>mdl_62_genealogic</v>
      </c>
      <c r="D63">
        <v>0</v>
      </c>
      <c r="E63">
        <v>0</v>
      </c>
      <c r="F63">
        <v>0.7</v>
      </c>
      <c r="G63" s="30" t="s">
        <v>503</v>
      </c>
      <c r="H63" t="s">
        <v>516</v>
      </c>
    </row>
    <row r="64" spans="1:8" ht="14.25" x14ac:dyDescent="0.45">
      <c r="A64">
        <v>63</v>
      </c>
      <c r="B64" t="s">
        <v>549</v>
      </c>
      <c r="C64" t="str">
        <f t="shared" si="0"/>
        <v>mdl_63_newage</v>
      </c>
      <c r="D64">
        <v>0</v>
      </c>
      <c r="E64">
        <v>0</v>
      </c>
      <c r="F64">
        <v>0.7</v>
      </c>
      <c r="G64" s="30" t="s">
        <v>503</v>
      </c>
      <c r="H64" t="s">
        <v>517</v>
      </c>
    </row>
    <row r="65" spans="1:8" ht="14.25" x14ac:dyDescent="0.45">
      <c r="A65">
        <v>64</v>
      </c>
      <c r="B65" s="30" t="s">
        <v>447</v>
      </c>
      <c r="C65" t="str">
        <f t="shared" si="0"/>
        <v>mdl_64_classic</v>
      </c>
      <c r="D65">
        <v>0</v>
      </c>
      <c r="E65">
        <v>0</v>
      </c>
      <c r="F65">
        <v>0.7</v>
      </c>
      <c r="G65" s="30" t="s">
        <v>504</v>
      </c>
      <c r="H65" t="s">
        <v>514</v>
      </c>
    </row>
    <row r="66" spans="1:8" ht="14.25" x14ac:dyDescent="0.45">
      <c r="A66">
        <v>65</v>
      </c>
      <c r="B66" s="30" t="s">
        <v>448</v>
      </c>
      <c r="C66" t="str">
        <f t="shared" si="0"/>
        <v>mdl_65_classic</v>
      </c>
      <c r="D66">
        <v>0</v>
      </c>
      <c r="E66">
        <v>0</v>
      </c>
      <c r="F66">
        <v>0.7</v>
      </c>
      <c r="G66" s="30" t="s">
        <v>505</v>
      </c>
      <c r="H66" t="s">
        <v>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04A7-B954-4095-9B9E-2B5C135EA8C3}">
  <dimension ref="A1:G33"/>
  <sheetViews>
    <sheetView topLeftCell="A15" zoomScaleNormal="100" workbookViewId="0">
      <selection activeCell="F28" sqref="F28"/>
    </sheetView>
  </sheetViews>
  <sheetFormatPr defaultRowHeight="13.5" x14ac:dyDescent="0.35"/>
  <cols>
    <col min="2" max="2" width="17.25" customWidth="1"/>
    <col min="6" max="6" width="29.125" customWidth="1"/>
    <col min="7" max="7" width="21.75" customWidth="1"/>
  </cols>
  <sheetData>
    <row r="1" spans="1:7" ht="15" x14ac:dyDescent="0.4">
      <c r="A1" s="28" t="s">
        <v>343</v>
      </c>
      <c r="B1" s="28" t="s">
        <v>344</v>
      </c>
      <c r="C1" s="28" t="s">
        <v>393</v>
      </c>
      <c r="D1" s="28" t="s">
        <v>394</v>
      </c>
      <c r="E1" s="28" t="s">
        <v>395</v>
      </c>
      <c r="F1" s="28" t="s">
        <v>345</v>
      </c>
      <c r="G1" s="28" t="s">
        <v>396</v>
      </c>
    </row>
    <row r="2" spans="1:7" x14ac:dyDescent="0.35">
      <c r="A2">
        <v>1</v>
      </c>
      <c r="B2" t="s">
        <v>347</v>
      </c>
      <c r="C2">
        <v>90</v>
      </c>
      <c r="D2">
        <v>215</v>
      </c>
      <c r="E2">
        <v>0.4</v>
      </c>
      <c r="F2" t="s">
        <v>348</v>
      </c>
      <c r="G2" t="s">
        <v>397</v>
      </c>
    </row>
    <row r="3" spans="1:7" x14ac:dyDescent="0.35">
      <c r="A3">
        <v>2</v>
      </c>
      <c r="B3" t="s">
        <v>347</v>
      </c>
      <c r="C3">
        <v>122</v>
      </c>
      <c r="D3">
        <v>244</v>
      </c>
      <c r="E3">
        <v>0.4</v>
      </c>
      <c r="F3" t="s">
        <v>349</v>
      </c>
      <c r="G3" t="s">
        <v>397</v>
      </c>
    </row>
    <row r="4" spans="1:7" x14ac:dyDescent="0.35">
      <c r="A4">
        <v>3</v>
      </c>
      <c r="B4" t="s">
        <v>350</v>
      </c>
      <c r="C4">
        <v>90</v>
      </c>
      <c r="D4">
        <v>215</v>
      </c>
      <c r="E4">
        <v>0.6</v>
      </c>
      <c r="F4" t="s">
        <v>351</v>
      </c>
      <c r="G4" t="s">
        <v>398</v>
      </c>
    </row>
    <row r="5" spans="1:7" x14ac:dyDescent="0.35">
      <c r="A5">
        <v>4</v>
      </c>
      <c r="B5" t="s">
        <v>350</v>
      </c>
      <c r="C5">
        <v>122</v>
      </c>
      <c r="D5">
        <v>244</v>
      </c>
      <c r="E5">
        <v>0.6</v>
      </c>
      <c r="F5" t="s">
        <v>352</v>
      </c>
      <c r="G5" t="s">
        <v>398</v>
      </c>
    </row>
    <row r="6" spans="1:7" x14ac:dyDescent="0.35">
      <c r="A6">
        <v>5</v>
      </c>
      <c r="B6" t="s">
        <v>350</v>
      </c>
      <c r="C6">
        <v>122</v>
      </c>
      <c r="D6">
        <v>305</v>
      </c>
      <c r="E6">
        <v>0.6</v>
      </c>
      <c r="F6" t="s">
        <v>353</v>
      </c>
      <c r="G6" t="s">
        <v>398</v>
      </c>
    </row>
    <row r="7" spans="1:7" x14ac:dyDescent="0.35">
      <c r="A7">
        <v>6</v>
      </c>
      <c r="B7" t="s">
        <v>354</v>
      </c>
      <c r="C7">
        <v>65</v>
      </c>
      <c r="D7">
        <v>205</v>
      </c>
      <c r="E7">
        <v>0.18</v>
      </c>
      <c r="F7" t="s">
        <v>355</v>
      </c>
      <c r="G7" t="s">
        <v>399</v>
      </c>
    </row>
    <row r="8" spans="1:7" x14ac:dyDescent="0.35">
      <c r="A8">
        <v>7</v>
      </c>
      <c r="B8" t="s">
        <v>354</v>
      </c>
      <c r="C8">
        <v>65</v>
      </c>
      <c r="D8">
        <v>215</v>
      </c>
      <c r="E8">
        <v>0.18</v>
      </c>
      <c r="F8" t="s">
        <v>356</v>
      </c>
      <c r="G8" t="s">
        <v>399</v>
      </c>
    </row>
    <row r="9" spans="1:7" x14ac:dyDescent="0.35">
      <c r="A9">
        <v>8</v>
      </c>
      <c r="B9" t="s">
        <v>354</v>
      </c>
      <c r="C9">
        <v>65</v>
      </c>
      <c r="D9">
        <v>225</v>
      </c>
      <c r="E9">
        <v>0.18</v>
      </c>
      <c r="F9" t="s">
        <v>357</v>
      </c>
      <c r="G9" t="s">
        <v>399</v>
      </c>
    </row>
    <row r="10" spans="1:7" x14ac:dyDescent="0.35">
      <c r="A10">
        <v>9</v>
      </c>
      <c r="B10" t="s">
        <v>354</v>
      </c>
      <c r="C10">
        <v>75</v>
      </c>
      <c r="D10">
        <v>205</v>
      </c>
      <c r="E10">
        <v>0.18</v>
      </c>
      <c r="F10" t="s">
        <v>358</v>
      </c>
      <c r="G10" t="s">
        <v>399</v>
      </c>
    </row>
    <row r="11" spans="1:7" x14ac:dyDescent="0.35">
      <c r="A11">
        <v>10</v>
      </c>
      <c r="B11" t="s">
        <v>354</v>
      </c>
      <c r="C11">
        <v>75</v>
      </c>
      <c r="D11">
        <v>215</v>
      </c>
      <c r="E11">
        <v>0.18</v>
      </c>
      <c r="F11" t="s">
        <v>359</v>
      </c>
      <c r="G11" t="s">
        <v>399</v>
      </c>
    </row>
    <row r="12" spans="1:7" x14ac:dyDescent="0.35">
      <c r="A12">
        <v>11</v>
      </c>
      <c r="B12" t="s">
        <v>354</v>
      </c>
      <c r="C12">
        <v>75</v>
      </c>
      <c r="D12">
        <v>225</v>
      </c>
      <c r="E12">
        <v>0.18</v>
      </c>
      <c r="F12" t="s">
        <v>360</v>
      </c>
      <c r="G12" t="s">
        <v>399</v>
      </c>
    </row>
    <row r="13" spans="1:7" x14ac:dyDescent="0.35">
      <c r="A13">
        <v>12</v>
      </c>
      <c r="B13" t="s">
        <v>354</v>
      </c>
      <c r="C13">
        <v>85</v>
      </c>
      <c r="D13">
        <v>205</v>
      </c>
      <c r="E13">
        <v>0.18</v>
      </c>
      <c r="F13" t="s">
        <v>361</v>
      </c>
      <c r="G13" t="s">
        <v>399</v>
      </c>
    </row>
    <row r="14" spans="1:7" x14ac:dyDescent="0.35">
      <c r="A14">
        <v>13</v>
      </c>
      <c r="B14" t="s">
        <v>354</v>
      </c>
      <c r="C14">
        <v>85</v>
      </c>
      <c r="D14">
        <v>215</v>
      </c>
      <c r="E14">
        <v>0.18</v>
      </c>
      <c r="F14" t="s">
        <v>362</v>
      </c>
      <c r="G14" t="s">
        <v>399</v>
      </c>
    </row>
    <row r="15" spans="1:7" x14ac:dyDescent="0.35">
      <c r="A15">
        <v>14</v>
      </c>
      <c r="B15" t="s">
        <v>354</v>
      </c>
      <c r="C15">
        <v>85</v>
      </c>
      <c r="D15">
        <v>225</v>
      </c>
      <c r="E15">
        <v>0.18</v>
      </c>
      <c r="F15" t="s">
        <v>363</v>
      </c>
      <c r="G15" t="s">
        <v>399</v>
      </c>
    </row>
    <row r="16" spans="1:7" x14ac:dyDescent="0.35">
      <c r="A16">
        <v>15</v>
      </c>
      <c r="B16" t="s">
        <v>354</v>
      </c>
      <c r="C16">
        <v>95</v>
      </c>
      <c r="D16">
        <v>205</v>
      </c>
      <c r="E16">
        <v>0.18</v>
      </c>
      <c r="F16" t="s">
        <v>364</v>
      </c>
      <c r="G16" t="s">
        <v>399</v>
      </c>
    </row>
    <row r="17" spans="1:7" x14ac:dyDescent="0.35">
      <c r="A17">
        <v>16</v>
      </c>
      <c r="B17" t="s">
        <v>354</v>
      </c>
      <c r="C17">
        <v>95</v>
      </c>
      <c r="D17">
        <v>215</v>
      </c>
      <c r="E17">
        <v>0.18</v>
      </c>
      <c r="F17" t="s">
        <v>365</v>
      </c>
      <c r="G17" t="s">
        <v>399</v>
      </c>
    </row>
    <row r="18" spans="1:7" x14ac:dyDescent="0.35">
      <c r="A18">
        <v>17</v>
      </c>
      <c r="B18" t="s">
        <v>354</v>
      </c>
      <c r="C18">
        <v>95</v>
      </c>
      <c r="D18">
        <v>225</v>
      </c>
      <c r="E18">
        <v>0.18</v>
      </c>
      <c r="F18" t="s">
        <v>366</v>
      </c>
      <c r="G18" t="s">
        <v>399</v>
      </c>
    </row>
    <row r="19" spans="1:7" x14ac:dyDescent="0.35">
      <c r="A19">
        <v>18</v>
      </c>
      <c r="B19" t="s">
        <v>354</v>
      </c>
      <c r="C19">
        <v>122</v>
      </c>
      <c r="D19">
        <v>244</v>
      </c>
      <c r="E19">
        <v>0.18</v>
      </c>
      <c r="F19" t="s">
        <v>367</v>
      </c>
      <c r="G19" t="s">
        <v>399</v>
      </c>
    </row>
    <row r="20" spans="1:7" x14ac:dyDescent="0.35">
      <c r="A20">
        <v>19</v>
      </c>
      <c r="B20" t="s">
        <v>354</v>
      </c>
      <c r="C20">
        <v>122</v>
      </c>
      <c r="D20">
        <v>305</v>
      </c>
      <c r="E20">
        <v>0.18</v>
      </c>
      <c r="F20" t="s">
        <v>368</v>
      </c>
      <c r="G20" t="s">
        <v>399</v>
      </c>
    </row>
    <row r="21" spans="1:7" x14ac:dyDescent="0.35">
      <c r="A21">
        <v>20</v>
      </c>
      <c r="B21" t="s">
        <v>369</v>
      </c>
      <c r="C21">
        <v>90</v>
      </c>
      <c r="D21">
        <v>215</v>
      </c>
      <c r="E21">
        <v>0.28000000000000003</v>
      </c>
      <c r="F21" t="s">
        <v>370</v>
      </c>
      <c r="G21" t="s">
        <v>400</v>
      </c>
    </row>
    <row r="22" spans="1:7" x14ac:dyDescent="0.35">
      <c r="A22">
        <v>21</v>
      </c>
      <c r="B22" t="s">
        <v>371</v>
      </c>
      <c r="C22">
        <v>90</v>
      </c>
      <c r="D22">
        <v>215</v>
      </c>
      <c r="E22">
        <v>0.34</v>
      </c>
      <c r="F22" t="s">
        <v>372</v>
      </c>
      <c r="G22" t="s">
        <v>401</v>
      </c>
    </row>
    <row r="23" spans="1:7" x14ac:dyDescent="0.35">
      <c r="A23">
        <v>22</v>
      </c>
      <c r="B23" t="s">
        <v>373</v>
      </c>
      <c r="C23">
        <v>90</v>
      </c>
      <c r="D23">
        <v>215</v>
      </c>
      <c r="E23">
        <v>0.38</v>
      </c>
      <c r="F23" t="s">
        <v>374</v>
      </c>
      <c r="G23" t="s">
        <v>402</v>
      </c>
    </row>
    <row r="24" spans="1:7" x14ac:dyDescent="0.35">
      <c r="A24">
        <v>23</v>
      </c>
      <c r="B24" t="s">
        <v>375</v>
      </c>
      <c r="C24">
        <v>90</v>
      </c>
      <c r="D24">
        <v>215</v>
      </c>
      <c r="E24">
        <v>0.44</v>
      </c>
      <c r="F24" t="s">
        <v>376</v>
      </c>
      <c r="G24" t="s">
        <v>403</v>
      </c>
    </row>
    <row r="25" spans="1:7" x14ac:dyDescent="0.35">
      <c r="A25">
        <v>24</v>
      </c>
      <c r="B25" t="s">
        <v>377</v>
      </c>
      <c r="C25">
        <v>90</v>
      </c>
      <c r="D25">
        <v>215</v>
      </c>
      <c r="E25">
        <v>0.33</v>
      </c>
      <c r="F25" t="s">
        <v>378</v>
      </c>
      <c r="G25" t="s">
        <v>404</v>
      </c>
    </row>
    <row r="26" spans="1:7" x14ac:dyDescent="0.35">
      <c r="A26">
        <v>25</v>
      </c>
      <c r="B26" t="s">
        <v>379</v>
      </c>
      <c r="C26">
        <v>90</v>
      </c>
      <c r="D26">
        <v>215</v>
      </c>
      <c r="E26">
        <v>0.45</v>
      </c>
      <c r="F26" t="s">
        <v>380</v>
      </c>
      <c r="G26" t="s">
        <v>405</v>
      </c>
    </row>
    <row r="27" spans="1:7" x14ac:dyDescent="0.35">
      <c r="A27">
        <v>26</v>
      </c>
      <c r="B27" t="s">
        <v>381</v>
      </c>
      <c r="C27">
        <v>122</v>
      </c>
      <c r="D27">
        <v>244</v>
      </c>
      <c r="E27">
        <v>0.3</v>
      </c>
      <c r="F27" t="s">
        <v>382</v>
      </c>
      <c r="G27" t="s">
        <v>406</v>
      </c>
    </row>
    <row r="28" spans="1:7" x14ac:dyDescent="0.35">
      <c r="A28">
        <v>27</v>
      </c>
      <c r="B28" t="s">
        <v>383</v>
      </c>
      <c r="C28">
        <v>122</v>
      </c>
      <c r="D28">
        <v>244</v>
      </c>
      <c r="E28">
        <v>0.8</v>
      </c>
      <c r="F28" t="s">
        <v>384</v>
      </c>
      <c r="G28" t="s">
        <v>483</v>
      </c>
    </row>
    <row r="29" spans="1:7" x14ac:dyDescent="0.35">
      <c r="A29">
        <v>28</v>
      </c>
      <c r="B29" t="s">
        <v>385</v>
      </c>
      <c r="C29">
        <v>122</v>
      </c>
      <c r="D29">
        <v>305</v>
      </c>
      <c r="E29">
        <v>3</v>
      </c>
      <c r="F29" t="s">
        <v>386</v>
      </c>
      <c r="G29" t="s">
        <v>407</v>
      </c>
    </row>
    <row r="30" spans="1:7" x14ac:dyDescent="0.35">
      <c r="A30">
        <v>29</v>
      </c>
      <c r="B30" t="s">
        <v>387</v>
      </c>
      <c r="C30">
        <v>122</v>
      </c>
      <c r="D30">
        <v>305</v>
      </c>
      <c r="E30">
        <v>3</v>
      </c>
      <c r="F30" t="s">
        <v>388</v>
      </c>
      <c r="G30" t="s">
        <v>407</v>
      </c>
    </row>
    <row r="31" spans="1:7" x14ac:dyDescent="0.35">
      <c r="A31">
        <v>30</v>
      </c>
      <c r="B31" t="s">
        <v>389</v>
      </c>
      <c r="C31">
        <v>60</v>
      </c>
      <c r="D31">
        <v>120</v>
      </c>
      <c r="E31">
        <v>4</v>
      </c>
      <c r="F31" t="s">
        <v>390</v>
      </c>
      <c r="G31" t="s">
        <v>408</v>
      </c>
    </row>
    <row r="32" spans="1:7" x14ac:dyDescent="0.35">
      <c r="A32">
        <v>31</v>
      </c>
      <c r="B32" t="s">
        <v>391</v>
      </c>
      <c r="C32">
        <v>60</v>
      </c>
      <c r="D32">
        <v>120</v>
      </c>
      <c r="E32">
        <v>6</v>
      </c>
      <c r="F32" t="s">
        <v>392</v>
      </c>
      <c r="G32" t="s">
        <v>409</v>
      </c>
    </row>
    <row r="33" spans="1:7" x14ac:dyDescent="0.35">
      <c r="A33">
        <v>32</v>
      </c>
      <c r="B33" t="s">
        <v>462</v>
      </c>
      <c r="C33">
        <v>100</v>
      </c>
      <c r="D33">
        <v>100</v>
      </c>
      <c r="E33">
        <v>0.5</v>
      </c>
      <c r="F33" t="s">
        <v>463</v>
      </c>
      <c r="G33" t="s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B9DD-A502-4FBC-992E-0D4603526801}">
  <dimension ref="A1:B9"/>
  <sheetViews>
    <sheetView workbookViewId="0">
      <selection activeCell="C1" sqref="C1"/>
    </sheetView>
  </sheetViews>
  <sheetFormatPr defaultRowHeight="13.5" x14ac:dyDescent="0.35"/>
  <cols>
    <col min="1" max="1" width="12" customWidth="1"/>
    <col min="2" max="2" width="17.5625" customWidth="1"/>
  </cols>
  <sheetData>
    <row r="1" spans="1:2" x14ac:dyDescent="0.35">
      <c r="A1">
        <v>1</v>
      </c>
      <c r="B1" t="s">
        <v>579</v>
      </c>
    </row>
    <row r="2" spans="1:2" x14ac:dyDescent="0.35">
      <c r="A2">
        <v>2</v>
      </c>
      <c r="B2" t="s">
        <v>580</v>
      </c>
    </row>
    <row r="3" spans="1:2" x14ac:dyDescent="0.35">
      <c r="A3">
        <v>3</v>
      </c>
      <c r="B3" t="s">
        <v>581</v>
      </c>
    </row>
    <row r="4" spans="1:2" x14ac:dyDescent="0.35">
      <c r="A4">
        <v>4</v>
      </c>
      <c r="B4" t="s">
        <v>582</v>
      </c>
    </row>
    <row r="5" spans="1:2" x14ac:dyDescent="0.35">
      <c r="A5">
        <v>5</v>
      </c>
      <c r="B5" t="s">
        <v>583</v>
      </c>
    </row>
    <row r="6" spans="1:2" x14ac:dyDescent="0.35">
      <c r="A6">
        <v>6</v>
      </c>
      <c r="B6" t="s">
        <v>584</v>
      </c>
    </row>
    <row r="7" spans="1:2" x14ac:dyDescent="0.35">
      <c r="A7">
        <v>7</v>
      </c>
      <c r="B7" t="s">
        <v>585</v>
      </c>
    </row>
    <row r="8" spans="1:2" x14ac:dyDescent="0.35">
      <c r="A8">
        <v>8</v>
      </c>
      <c r="B8" t="s">
        <v>586</v>
      </c>
    </row>
    <row r="9" spans="1:2" x14ac:dyDescent="0.35">
      <c r="A9">
        <v>9</v>
      </c>
      <c r="B9" t="s">
        <v>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7A7C-9EA6-4A35-A125-0D3C27E8B153}">
  <dimension ref="A1:G8"/>
  <sheetViews>
    <sheetView workbookViewId="0">
      <selection activeCell="G11" sqref="G11"/>
    </sheetView>
  </sheetViews>
  <sheetFormatPr defaultRowHeight="13.5" x14ac:dyDescent="0.35"/>
  <cols>
    <col min="2" max="2" width="25.4375" customWidth="1"/>
    <col min="3" max="3" width="17.9375" bestFit="1" customWidth="1"/>
    <col min="4" max="4" width="11.5625" customWidth="1"/>
  </cols>
  <sheetData>
    <row r="1" spans="1:7" ht="15" x14ac:dyDescent="0.4">
      <c r="A1" s="28" t="s">
        <v>343</v>
      </c>
      <c r="B1" s="28" t="s">
        <v>344</v>
      </c>
      <c r="C1" s="28" t="s">
        <v>345</v>
      </c>
      <c r="D1" s="28" t="s">
        <v>396</v>
      </c>
      <c r="E1" s="28" t="s">
        <v>456</v>
      </c>
      <c r="F1" s="28" t="s">
        <v>458</v>
      </c>
      <c r="G1" s="28" t="s">
        <v>459</v>
      </c>
    </row>
    <row r="2" spans="1:7" x14ac:dyDescent="0.35">
      <c r="A2">
        <v>1</v>
      </c>
      <c r="B2" t="s">
        <v>411</v>
      </c>
      <c r="C2" t="s">
        <v>410</v>
      </c>
      <c r="D2" t="s">
        <v>410</v>
      </c>
    </row>
    <row r="3" spans="1:7" x14ac:dyDescent="0.35">
      <c r="A3">
        <v>2</v>
      </c>
      <c r="B3" t="s">
        <v>412</v>
      </c>
      <c r="C3" t="s">
        <v>413</v>
      </c>
      <c r="D3" t="s">
        <v>413</v>
      </c>
    </row>
    <row r="4" spans="1:7" x14ac:dyDescent="0.35">
      <c r="A4">
        <v>3</v>
      </c>
      <c r="B4" t="s">
        <v>415</v>
      </c>
      <c r="C4" t="s">
        <v>414</v>
      </c>
      <c r="D4" t="s">
        <v>427</v>
      </c>
    </row>
    <row r="5" spans="1:7" x14ac:dyDescent="0.35">
      <c r="A5">
        <v>4</v>
      </c>
      <c r="B5" t="s">
        <v>479</v>
      </c>
      <c r="C5" t="s">
        <v>479</v>
      </c>
      <c r="D5" t="s">
        <v>478</v>
      </c>
      <c r="E5">
        <v>-4</v>
      </c>
      <c r="F5">
        <v>-4</v>
      </c>
      <c r="G5" t="b">
        <f>FALSE</f>
        <v>0</v>
      </c>
    </row>
    <row r="6" spans="1:7" x14ac:dyDescent="0.35">
      <c r="A6">
        <v>5</v>
      </c>
      <c r="B6" t="s">
        <v>480</v>
      </c>
      <c r="C6" t="s">
        <v>480</v>
      </c>
      <c r="D6" t="s">
        <v>478</v>
      </c>
      <c r="E6">
        <v>-4</v>
      </c>
      <c r="F6">
        <v>-2</v>
      </c>
      <c r="G6" t="b">
        <f>FALSE</f>
        <v>0</v>
      </c>
    </row>
    <row r="7" spans="1:7" x14ac:dyDescent="0.35">
      <c r="A7">
        <v>6</v>
      </c>
      <c r="B7" t="s">
        <v>481</v>
      </c>
      <c r="C7" t="s">
        <v>481</v>
      </c>
      <c r="D7" t="s">
        <v>478</v>
      </c>
      <c r="E7">
        <v>-2</v>
      </c>
      <c r="F7">
        <v>-2</v>
      </c>
      <c r="G7" t="b">
        <v>1</v>
      </c>
    </row>
    <row r="8" spans="1:7" x14ac:dyDescent="0.35">
      <c r="A8">
        <v>7</v>
      </c>
      <c r="B8" t="s">
        <v>482</v>
      </c>
      <c r="C8" t="s">
        <v>482</v>
      </c>
      <c r="D8" t="s">
        <v>478</v>
      </c>
      <c r="E8">
        <v>-2</v>
      </c>
      <c r="F8">
        <v>-1</v>
      </c>
      <c r="G8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0A63-D7C7-4BC1-ADAE-378050626DBC}">
  <dimension ref="A1:C4"/>
  <sheetViews>
    <sheetView workbookViewId="0">
      <selection activeCell="C6" sqref="C6"/>
    </sheetView>
  </sheetViews>
  <sheetFormatPr defaultRowHeight="13.5" x14ac:dyDescent="0.35"/>
  <cols>
    <col min="1" max="1" width="9.5" customWidth="1"/>
    <col min="2" max="2" width="11.375" customWidth="1"/>
    <col min="3" max="3" width="25.4375" customWidth="1"/>
  </cols>
  <sheetData>
    <row r="1" spans="1:3" x14ac:dyDescent="0.35">
      <c r="A1">
        <v>1</v>
      </c>
      <c r="B1" t="s">
        <v>416</v>
      </c>
      <c r="C1" t="s">
        <v>219</v>
      </c>
    </row>
    <row r="2" spans="1:3" x14ac:dyDescent="0.35">
      <c r="A2">
        <v>2</v>
      </c>
      <c r="B2" t="s">
        <v>417</v>
      </c>
      <c r="C2" t="s">
        <v>418</v>
      </c>
    </row>
    <row r="3" spans="1:3" x14ac:dyDescent="0.35">
      <c r="A3">
        <v>3</v>
      </c>
      <c r="B3" t="s">
        <v>419</v>
      </c>
      <c r="C3" t="s">
        <v>420</v>
      </c>
    </row>
    <row r="4" spans="1:3" x14ac:dyDescent="0.35">
      <c r="A4">
        <v>4001</v>
      </c>
      <c r="B4" t="s">
        <v>426</v>
      </c>
      <c r="C4" t="s">
        <v>425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A16E-A3BE-4850-9C9C-43E6828FCEDB}">
  <dimension ref="A1:C2"/>
  <sheetViews>
    <sheetView workbookViewId="0">
      <selection activeCell="C2" sqref="C2"/>
    </sheetView>
  </sheetViews>
  <sheetFormatPr defaultRowHeight="13.5" x14ac:dyDescent="0.35"/>
  <cols>
    <col min="3" max="3" width="18.4375" customWidth="1"/>
  </cols>
  <sheetData>
    <row r="1" spans="1:3" x14ac:dyDescent="0.35">
      <c r="A1">
        <v>1</v>
      </c>
      <c r="B1" t="s">
        <v>421</v>
      </c>
      <c r="C1" t="s">
        <v>423</v>
      </c>
    </row>
    <row r="2" spans="1:3" x14ac:dyDescent="0.35">
      <c r="A2">
        <v>2</v>
      </c>
      <c r="B2" t="s">
        <v>422</v>
      </c>
      <c r="C2" t="s">
        <v>424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424B-4F23-4D68-ACD8-1C6B01F5D2CC}">
  <dimension ref="A1:H4"/>
  <sheetViews>
    <sheetView workbookViewId="0">
      <selection activeCell="E1" sqref="E1:E2"/>
    </sheetView>
  </sheetViews>
  <sheetFormatPr defaultRowHeight="13.5" x14ac:dyDescent="0.35"/>
  <cols>
    <col min="2" max="2" width="27.5625" customWidth="1"/>
    <col min="3" max="3" width="15.5" customWidth="1"/>
    <col min="4" max="4" width="21.625" customWidth="1"/>
    <col min="5" max="5" width="12.3125" customWidth="1"/>
    <col min="6" max="6" width="14.875" customWidth="1"/>
    <col min="8" max="8" width="43.4375" customWidth="1"/>
  </cols>
  <sheetData>
    <row r="1" spans="1:8" ht="15" x14ac:dyDescent="0.4">
      <c r="A1" s="28" t="s">
        <v>343</v>
      </c>
      <c r="B1" s="28" t="s">
        <v>344</v>
      </c>
      <c r="C1" s="28" t="s">
        <v>345</v>
      </c>
      <c r="D1" s="28" t="s">
        <v>396</v>
      </c>
      <c r="E1" s="28" t="s">
        <v>456</v>
      </c>
      <c r="F1" s="28" t="s">
        <v>458</v>
      </c>
      <c r="G1" s="28" t="s">
        <v>459</v>
      </c>
      <c r="H1" s="28" t="s">
        <v>457</v>
      </c>
    </row>
    <row r="2" spans="1:8" x14ac:dyDescent="0.35">
      <c r="A2">
        <v>1</v>
      </c>
      <c r="B2" t="s">
        <v>454</v>
      </c>
      <c r="C2" t="s">
        <v>453</v>
      </c>
      <c r="D2" t="s">
        <v>455</v>
      </c>
      <c r="E2">
        <v>0.67</v>
      </c>
      <c r="H2" t="s">
        <v>460</v>
      </c>
    </row>
    <row r="3" spans="1:8" x14ac:dyDescent="0.35">
      <c r="A3">
        <v>2</v>
      </c>
      <c r="B3" t="s">
        <v>219</v>
      </c>
      <c r="C3" t="s">
        <v>416</v>
      </c>
    </row>
    <row r="4" spans="1:8" x14ac:dyDescent="0.35">
      <c r="A4">
        <v>3</v>
      </c>
      <c r="B4" t="s">
        <v>462</v>
      </c>
      <c r="C4" t="s">
        <v>463</v>
      </c>
      <c r="D4" t="s">
        <v>464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FDFF-6A99-41F9-B9BE-DB40FAD3B006}">
  <dimension ref="A1:H7"/>
  <sheetViews>
    <sheetView workbookViewId="0">
      <selection activeCell="D3" sqref="D3"/>
    </sheetView>
  </sheetViews>
  <sheetFormatPr defaultRowHeight="13.5" x14ac:dyDescent="0.35"/>
  <cols>
    <col min="3" max="3" width="19.125" customWidth="1"/>
    <col min="4" max="4" width="33.8125" customWidth="1"/>
    <col min="5" max="5" width="30.3125" customWidth="1"/>
    <col min="6" max="6" width="24.3125" customWidth="1"/>
    <col min="7" max="7" width="18.75" bestFit="1" customWidth="1"/>
    <col min="8" max="8" width="10.9375" bestFit="1" customWidth="1"/>
  </cols>
  <sheetData>
    <row r="1" spans="1:8" ht="15" x14ac:dyDescent="0.4">
      <c r="A1" s="28" t="s">
        <v>343</v>
      </c>
      <c r="B1" s="28" t="s">
        <v>345</v>
      </c>
      <c r="C1" s="28" t="s">
        <v>344</v>
      </c>
      <c r="D1" s="28" t="s">
        <v>465</v>
      </c>
      <c r="E1" s="28" t="s">
        <v>466</v>
      </c>
      <c r="F1" s="28" t="s">
        <v>467</v>
      </c>
      <c r="G1" s="28" t="s">
        <v>469</v>
      </c>
      <c r="H1" s="28" t="s">
        <v>468</v>
      </c>
    </row>
    <row r="2" spans="1:8" x14ac:dyDescent="0.35">
      <c r="A2">
        <v>1</v>
      </c>
      <c r="B2" t="s">
        <v>463</v>
      </c>
      <c r="C2" t="s">
        <v>462</v>
      </c>
      <c r="D2" t="s">
        <v>588</v>
      </c>
      <c r="E2" t="s">
        <v>374</v>
      </c>
      <c r="F2" t="s">
        <v>348</v>
      </c>
      <c r="G2" t="s">
        <v>470</v>
      </c>
      <c r="H2">
        <v>2</v>
      </c>
    </row>
    <row r="3" spans="1:8" x14ac:dyDescent="0.35">
      <c r="F3" t="s">
        <v>390</v>
      </c>
      <c r="G3" t="s">
        <v>471</v>
      </c>
      <c r="H3">
        <v>4</v>
      </c>
    </row>
    <row r="4" spans="1:8" x14ac:dyDescent="0.35">
      <c r="F4" t="s">
        <v>463</v>
      </c>
      <c r="G4" t="s">
        <v>471</v>
      </c>
      <c r="H4">
        <v>2.2000000000000002</v>
      </c>
    </row>
    <row r="5" spans="1:8" x14ac:dyDescent="0.35">
      <c r="A5">
        <v>2</v>
      </c>
      <c r="B5" t="s">
        <v>473</v>
      </c>
      <c r="C5" t="s">
        <v>462</v>
      </c>
      <c r="D5" t="s">
        <v>474</v>
      </c>
      <c r="E5" t="s">
        <v>475</v>
      </c>
      <c r="F5" t="s">
        <v>348</v>
      </c>
      <c r="G5" t="s">
        <v>470</v>
      </c>
      <c r="H5">
        <v>2</v>
      </c>
    </row>
    <row r="6" spans="1:8" x14ac:dyDescent="0.35">
      <c r="E6" t="s">
        <v>476</v>
      </c>
      <c r="G6" t="s">
        <v>471</v>
      </c>
      <c r="H6">
        <v>4</v>
      </c>
    </row>
    <row r="7" spans="1:8" x14ac:dyDescent="0.35">
      <c r="E7" t="s">
        <v>477</v>
      </c>
      <c r="F7" t="s">
        <v>463</v>
      </c>
      <c r="G7" t="s">
        <v>471</v>
      </c>
      <c r="H7">
        <v>2.2000000000000002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0000-F10B-4BEE-80A9-D3D53AA2CB58}">
  <sheetPr codeName="Sheet7"/>
  <dimension ref="A1:AK32"/>
  <sheetViews>
    <sheetView rightToLeft="1" workbookViewId="0">
      <selection activeCell="L37" sqref="L37"/>
    </sheetView>
  </sheetViews>
  <sheetFormatPr defaultRowHeight="13.5" x14ac:dyDescent="0.35"/>
  <cols>
    <col min="1" max="1" width="6.875" bestFit="1" customWidth="1"/>
    <col min="2" max="2" width="16.125" bestFit="1" customWidth="1"/>
    <col min="7" max="7" width="9" style="9"/>
    <col min="8" max="8" width="15.875" style="9" customWidth="1"/>
  </cols>
  <sheetData>
    <row r="1" spans="1:37" ht="13.9" x14ac:dyDescent="0.4">
      <c r="A1" s="13" t="s">
        <v>235</v>
      </c>
      <c r="B1" s="13" t="s">
        <v>182</v>
      </c>
      <c r="C1" s="10" t="s">
        <v>236</v>
      </c>
      <c r="D1" s="10" t="s">
        <v>237</v>
      </c>
      <c r="E1" s="10" t="s">
        <v>238</v>
      </c>
      <c r="F1" s="10" t="s">
        <v>239</v>
      </c>
      <c r="G1" s="10" t="s">
        <v>240</v>
      </c>
      <c r="H1" s="10" t="s">
        <v>183</v>
      </c>
      <c r="I1" s="10" t="s">
        <v>184</v>
      </c>
      <c r="J1" s="10" t="s">
        <v>241</v>
      </c>
      <c r="K1" s="10" t="s">
        <v>181</v>
      </c>
      <c r="L1" s="10" t="s">
        <v>242</v>
      </c>
      <c r="M1" s="10" t="s">
        <v>243</v>
      </c>
      <c r="N1" s="10" t="s">
        <v>244</v>
      </c>
      <c r="O1" s="10" t="s">
        <v>245</v>
      </c>
      <c r="P1" s="10" t="s">
        <v>246</v>
      </c>
      <c r="Q1" s="10" t="s">
        <v>247</v>
      </c>
      <c r="R1" s="10" t="s">
        <v>248</v>
      </c>
      <c r="S1" s="10" t="s">
        <v>249</v>
      </c>
      <c r="T1" s="10" t="s">
        <v>250</v>
      </c>
      <c r="U1" s="10" t="s">
        <v>180</v>
      </c>
      <c r="V1" s="10" t="s">
        <v>185</v>
      </c>
      <c r="W1" s="10" t="s">
        <v>186</v>
      </c>
      <c r="X1" s="10" t="s">
        <v>251</v>
      </c>
      <c r="Y1" s="10" t="s">
        <v>252</v>
      </c>
      <c r="Z1" s="10" t="s">
        <v>253</v>
      </c>
      <c r="AA1" s="10" t="s">
        <v>182</v>
      </c>
      <c r="AB1" s="10" t="s">
        <v>254</v>
      </c>
      <c r="AC1" s="10" t="s">
        <v>255</v>
      </c>
      <c r="AD1" s="10" t="s">
        <v>256</v>
      </c>
      <c r="AE1" s="10" t="s">
        <v>187</v>
      </c>
      <c r="AF1" s="10" t="s">
        <v>257</v>
      </c>
      <c r="AG1" s="10" t="s">
        <v>258</v>
      </c>
      <c r="AH1" s="10" t="s">
        <v>259</v>
      </c>
      <c r="AI1" s="10" t="s">
        <v>260</v>
      </c>
      <c r="AJ1" s="10" t="s">
        <v>261</v>
      </c>
      <c r="AK1" s="10" t="s">
        <v>262</v>
      </c>
    </row>
    <row r="2" spans="1:37" x14ac:dyDescent="0.35">
      <c r="A2" s="10" t="s">
        <v>190</v>
      </c>
      <c r="B2" s="10" t="s">
        <v>191</v>
      </c>
      <c r="C2" s="10"/>
      <c r="D2" s="10"/>
      <c r="E2" s="10"/>
      <c r="F2" s="10"/>
      <c r="G2" s="10"/>
      <c r="H2" s="10"/>
      <c r="I2" s="10"/>
      <c r="J2" s="10"/>
      <c r="K2" s="10"/>
      <c r="L2" s="12">
        <v>0</v>
      </c>
      <c r="M2" s="12">
        <v>0</v>
      </c>
      <c r="N2" s="12">
        <v>0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>
        <v>0</v>
      </c>
    </row>
    <row r="3" spans="1:37" x14ac:dyDescent="0.35">
      <c r="A3" s="10" t="s">
        <v>192</v>
      </c>
      <c r="B3" s="10" t="s">
        <v>234</v>
      </c>
      <c r="C3" s="10"/>
      <c r="D3" s="10" t="s">
        <v>189</v>
      </c>
      <c r="E3" s="10"/>
      <c r="F3" s="10"/>
      <c r="G3" s="10"/>
      <c r="H3" s="10"/>
      <c r="I3" s="10"/>
      <c r="J3" s="10"/>
      <c r="K3" s="10"/>
      <c r="L3" s="12">
        <v>0</v>
      </c>
      <c r="M3" s="12">
        <v>0</v>
      </c>
      <c r="N3" s="12">
        <v>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>
        <v>0</v>
      </c>
    </row>
    <row r="4" spans="1:37" x14ac:dyDescent="0.35">
      <c r="A4" s="10" t="s">
        <v>200</v>
      </c>
      <c r="B4" s="10" t="s">
        <v>225</v>
      </c>
      <c r="C4" s="10"/>
      <c r="D4" s="10"/>
      <c r="E4" s="10"/>
      <c r="F4" s="10"/>
      <c r="G4" s="10"/>
      <c r="H4" s="10" t="s">
        <v>207</v>
      </c>
      <c r="I4" s="10" t="s">
        <v>208</v>
      </c>
      <c r="J4" s="10"/>
      <c r="K4" s="10"/>
      <c r="L4" s="12">
        <v>0</v>
      </c>
      <c r="M4" s="12">
        <v>0</v>
      </c>
      <c r="N4" s="12">
        <v>0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>
        <v>0</v>
      </c>
    </row>
    <row r="5" spans="1:37" x14ac:dyDescent="0.35">
      <c r="A5" s="10" t="s">
        <v>209</v>
      </c>
      <c r="B5" s="10" t="s">
        <v>229</v>
      </c>
      <c r="C5" s="10"/>
      <c r="D5" s="10"/>
      <c r="E5" s="10"/>
      <c r="F5" s="10"/>
      <c r="G5" s="10"/>
      <c r="H5" s="10" t="s">
        <v>207</v>
      </c>
      <c r="I5" s="10" t="s">
        <v>208</v>
      </c>
      <c r="J5" s="10"/>
      <c r="K5" s="10"/>
      <c r="L5" s="12">
        <v>0</v>
      </c>
      <c r="M5" s="12">
        <v>0</v>
      </c>
      <c r="N5" s="12">
        <v>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>
        <v>0</v>
      </c>
    </row>
    <row r="6" spans="1:37" x14ac:dyDescent="0.35">
      <c r="A6" s="10" t="s">
        <v>196</v>
      </c>
      <c r="B6" s="10" t="s">
        <v>197</v>
      </c>
      <c r="C6" s="10"/>
      <c r="D6" s="10"/>
      <c r="E6" s="10"/>
      <c r="F6" s="10"/>
      <c r="G6" s="10"/>
      <c r="H6" s="10" t="s">
        <v>196</v>
      </c>
      <c r="I6" s="10" t="s">
        <v>197</v>
      </c>
      <c r="J6" s="10"/>
      <c r="K6" s="10"/>
      <c r="L6" s="12">
        <v>0</v>
      </c>
      <c r="M6" s="12">
        <v>0</v>
      </c>
      <c r="N6" s="12">
        <v>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1">
        <v>0</v>
      </c>
    </row>
    <row r="7" spans="1:37" x14ac:dyDescent="0.35">
      <c r="A7" s="10" t="s">
        <v>194</v>
      </c>
      <c r="B7" s="14" t="s">
        <v>195</v>
      </c>
      <c r="C7" s="10"/>
      <c r="D7" s="10"/>
      <c r="E7" s="10"/>
      <c r="F7" s="10"/>
      <c r="G7" s="10"/>
      <c r="H7" s="10" t="s">
        <v>196</v>
      </c>
      <c r="I7" s="10" t="s">
        <v>197</v>
      </c>
      <c r="J7" s="10"/>
      <c r="K7" s="10"/>
      <c r="L7" s="12">
        <v>0</v>
      </c>
      <c r="M7" s="12">
        <v>0</v>
      </c>
      <c r="N7" s="12">
        <v>0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>
        <v>0</v>
      </c>
    </row>
    <row r="8" spans="1:37" x14ac:dyDescent="0.35">
      <c r="A8" s="10" t="s">
        <v>210</v>
      </c>
      <c r="B8" s="14" t="s">
        <v>211</v>
      </c>
      <c r="C8" s="10"/>
      <c r="D8" s="10"/>
      <c r="E8" s="10"/>
      <c r="F8" s="10"/>
      <c r="G8" s="10"/>
      <c r="H8" s="10" t="s">
        <v>196</v>
      </c>
      <c r="I8" s="10" t="s">
        <v>197</v>
      </c>
      <c r="J8" s="10"/>
      <c r="K8" s="10"/>
      <c r="L8" s="12">
        <v>0</v>
      </c>
      <c r="M8" s="12">
        <v>0</v>
      </c>
      <c r="N8" s="12">
        <v>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1">
        <v>0</v>
      </c>
    </row>
    <row r="9" spans="1:37" x14ac:dyDescent="0.35">
      <c r="A9" s="10" t="s">
        <v>218</v>
      </c>
      <c r="B9" s="14" t="s">
        <v>219</v>
      </c>
      <c r="C9" s="10"/>
      <c r="D9" s="10"/>
      <c r="E9" s="10"/>
      <c r="F9" s="10"/>
      <c r="G9" s="10"/>
      <c r="H9" s="10" t="s">
        <v>196</v>
      </c>
      <c r="I9" s="10" t="s">
        <v>197</v>
      </c>
      <c r="J9" s="10"/>
      <c r="K9" s="10"/>
      <c r="L9" s="12">
        <v>0</v>
      </c>
      <c r="M9" s="12">
        <v>0</v>
      </c>
      <c r="N9" s="12">
        <v>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>
        <v>0</v>
      </c>
    </row>
    <row r="10" spans="1:37" x14ac:dyDescent="0.35">
      <c r="A10" s="10" t="s">
        <v>216</v>
      </c>
      <c r="B10" s="14" t="s">
        <v>217</v>
      </c>
      <c r="C10" s="10"/>
      <c r="D10" s="10"/>
      <c r="E10" s="10"/>
      <c r="F10" s="10"/>
      <c r="G10" s="10"/>
      <c r="H10" s="10" t="s">
        <v>196</v>
      </c>
      <c r="I10" s="10" t="s">
        <v>197</v>
      </c>
      <c r="J10" s="10"/>
      <c r="K10" s="10"/>
      <c r="L10" s="12">
        <v>0</v>
      </c>
      <c r="M10" s="12">
        <v>0</v>
      </c>
      <c r="N10" s="12">
        <v>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1">
        <v>0</v>
      </c>
    </row>
    <row r="11" spans="1:37" x14ac:dyDescent="0.35">
      <c r="A11" s="10" t="s">
        <v>222</v>
      </c>
      <c r="B11" s="10" t="s">
        <v>223</v>
      </c>
      <c r="C11" s="10"/>
      <c r="D11" s="10"/>
      <c r="E11" s="10"/>
      <c r="F11" s="10"/>
      <c r="G11" s="10"/>
      <c r="H11" s="10"/>
      <c r="I11" s="10"/>
      <c r="J11" s="10"/>
      <c r="K11" s="10"/>
      <c r="L11" s="12">
        <v>0</v>
      </c>
      <c r="M11" s="12">
        <v>0</v>
      </c>
      <c r="N11" s="12">
        <v>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>
        <v>0</v>
      </c>
    </row>
    <row r="12" spans="1:37" x14ac:dyDescent="0.35">
      <c r="A12" s="10" t="s">
        <v>214</v>
      </c>
      <c r="B12" s="10" t="s">
        <v>215</v>
      </c>
      <c r="C12" s="10"/>
      <c r="D12" s="10"/>
      <c r="E12" s="10"/>
      <c r="F12" s="10"/>
      <c r="G12" s="10"/>
      <c r="H12" s="10"/>
      <c r="I12" s="10"/>
      <c r="J12" s="10"/>
      <c r="K12" s="10"/>
      <c r="L12" s="12">
        <v>0</v>
      </c>
      <c r="M12" s="12">
        <v>0</v>
      </c>
      <c r="N12" s="12">
        <v>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1">
        <v>0</v>
      </c>
    </row>
    <row r="13" spans="1:37" x14ac:dyDescent="0.35">
      <c r="A13" s="10" t="s">
        <v>220</v>
      </c>
      <c r="B13" s="10" t="s">
        <v>221</v>
      </c>
      <c r="C13" s="10"/>
      <c r="D13" s="10"/>
      <c r="E13" s="10"/>
      <c r="F13" s="10"/>
      <c r="G13" s="10"/>
      <c r="H13" s="10" t="s">
        <v>207</v>
      </c>
      <c r="I13" s="10" t="s">
        <v>208</v>
      </c>
      <c r="J13" s="10"/>
      <c r="K13" s="10"/>
      <c r="L13" s="12">
        <v>0</v>
      </c>
      <c r="M13" s="12">
        <v>0</v>
      </c>
      <c r="N13" s="12">
        <v>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1">
        <v>0</v>
      </c>
    </row>
    <row r="14" spans="1:37" x14ac:dyDescent="0.35">
      <c r="A14" s="10" t="s">
        <v>205</v>
      </c>
      <c r="B14" s="10" t="s">
        <v>206</v>
      </c>
      <c r="C14" s="10"/>
      <c r="D14" s="10"/>
      <c r="E14" s="10"/>
      <c r="F14" s="10"/>
      <c r="G14" s="10"/>
      <c r="H14" s="10" t="s">
        <v>207</v>
      </c>
      <c r="I14" s="10" t="s">
        <v>208</v>
      </c>
      <c r="J14" s="10"/>
      <c r="K14" s="10"/>
      <c r="L14" s="12">
        <v>0</v>
      </c>
      <c r="M14" s="12">
        <v>0</v>
      </c>
      <c r="N14" s="12">
        <v>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1">
        <v>0</v>
      </c>
    </row>
    <row r="15" spans="1:37" x14ac:dyDescent="0.35">
      <c r="A15" s="10" t="s">
        <v>203</v>
      </c>
      <c r="B15" s="10" t="s">
        <v>204</v>
      </c>
      <c r="C15" s="10"/>
      <c r="D15" s="10"/>
      <c r="E15" s="10"/>
      <c r="F15" s="10"/>
      <c r="G15" s="10"/>
      <c r="H15" s="10" t="s">
        <v>188</v>
      </c>
      <c r="I15" s="10" t="s">
        <v>204</v>
      </c>
      <c r="J15" s="10"/>
      <c r="K15" s="10"/>
      <c r="L15" s="12">
        <v>0</v>
      </c>
      <c r="M15" s="12">
        <v>0</v>
      </c>
      <c r="N15" s="12">
        <v>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1">
        <v>0</v>
      </c>
    </row>
    <row r="16" spans="1:37" x14ac:dyDescent="0.35">
      <c r="A16" s="10" t="s">
        <v>201</v>
      </c>
      <c r="B16" s="10" t="s">
        <v>202</v>
      </c>
      <c r="C16" s="10"/>
      <c r="D16" s="10"/>
      <c r="E16" s="10"/>
      <c r="F16" s="10"/>
      <c r="G16" s="10"/>
      <c r="H16" s="10"/>
      <c r="I16" s="10"/>
      <c r="J16" s="10"/>
      <c r="K16" s="10"/>
      <c r="L16" s="12">
        <v>0</v>
      </c>
      <c r="M16" s="12">
        <v>0</v>
      </c>
      <c r="N16" s="12">
        <v>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1">
        <v>0</v>
      </c>
    </row>
    <row r="17" spans="1:37" x14ac:dyDescent="0.35">
      <c r="A17" s="10" t="s">
        <v>226</v>
      </c>
      <c r="B17" s="10" t="s">
        <v>227</v>
      </c>
      <c r="C17" s="10"/>
      <c r="D17" s="10"/>
      <c r="E17" s="10"/>
      <c r="F17" s="10"/>
      <c r="G17" s="10"/>
      <c r="H17" s="10"/>
      <c r="I17" s="10"/>
      <c r="J17" s="10"/>
      <c r="K17" s="10"/>
      <c r="L17" s="12">
        <v>0</v>
      </c>
      <c r="M17" s="12">
        <v>0</v>
      </c>
      <c r="N17" s="12">
        <v>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>
        <v>0</v>
      </c>
    </row>
    <row r="18" spans="1:37" x14ac:dyDescent="0.35">
      <c r="A18" s="10" t="s">
        <v>230</v>
      </c>
      <c r="B18" s="10" t="s">
        <v>231</v>
      </c>
      <c r="C18" s="10"/>
      <c r="D18" s="10"/>
      <c r="E18" s="10"/>
      <c r="F18" s="10"/>
      <c r="G18" s="10"/>
      <c r="H18" s="10" t="s">
        <v>188</v>
      </c>
      <c r="I18" s="10" t="s">
        <v>204</v>
      </c>
      <c r="J18" s="10"/>
      <c r="K18" s="10"/>
      <c r="L18" s="12">
        <v>0</v>
      </c>
      <c r="M18" s="12">
        <v>0</v>
      </c>
      <c r="N18" s="12">
        <v>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1">
        <v>0</v>
      </c>
    </row>
    <row r="19" spans="1:37" x14ac:dyDescent="0.35">
      <c r="A19" s="10" t="s">
        <v>198</v>
      </c>
      <c r="B19" s="10" t="s">
        <v>199</v>
      </c>
      <c r="C19" s="10"/>
      <c r="D19" s="10"/>
      <c r="E19" s="10"/>
      <c r="F19" s="10"/>
      <c r="G19" s="10"/>
      <c r="H19" s="10"/>
      <c r="I19" s="10"/>
      <c r="J19" s="10"/>
      <c r="K19" s="10"/>
      <c r="L19" s="12">
        <v>0</v>
      </c>
      <c r="M19" s="12">
        <v>0</v>
      </c>
      <c r="N19" s="12">
        <v>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1">
        <v>0</v>
      </c>
    </row>
    <row r="20" spans="1:37" x14ac:dyDescent="0.35">
      <c r="A20" s="10" t="s">
        <v>212</v>
      </c>
      <c r="B20" s="10" t="s">
        <v>213</v>
      </c>
      <c r="C20" s="10"/>
      <c r="D20" s="10"/>
      <c r="E20" s="10"/>
      <c r="F20" s="10"/>
      <c r="G20" s="10"/>
      <c r="H20" s="10"/>
      <c r="I20" s="10"/>
      <c r="J20" s="10"/>
      <c r="K20" s="10"/>
      <c r="L20" s="12">
        <v>0</v>
      </c>
      <c r="M20" s="12">
        <v>0</v>
      </c>
      <c r="N20" s="12">
        <v>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>
        <v>0</v>
      </c>
    </row>
    <row r="21" spans="1:37" x14ac:dyDescent="0.35">
      <c r="A21" s="10" t="s">
        <v>232</v>
      </c>
      <c r="B21" s="10" t="s">
        <v>233</v>
      </c>
      <c r="C21" s="10"/>
      <c r="D21" s="10"/>
      <c r="E21" s="10"/>
      <c r="F21" s="10"/>
      <c r="G21" s="10"/>
      <c r="H21" s="10"/>
      <c r="I21" s="10"/>
      <c r="J21" s="10"/>
      <c r="K21" s="10"/>
      <c r="L21" s="12">
        <v>0</v>
      </c>
      <c r="M21" s="12">
        <v>0</v>
      </c>
      <c r="N21" s="12"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1">
        <v>0</v>
      </c>
    </row>
    <row r="22" spans="1:37" x14ac:dyDescent="0.35">
      <c r="A22" s="10" t="s">
        <v>224</v>
      </c>
      <c r="B22" s="10" t="s">
        <v>228</v>
      </c>
      <c r="C22" s="10"/>
      <c r="D22" s="10"/>
      <c r="E22" s="10"/>
      <c r="F22" s="10"/>
      <c r="G22" s="10"/>
      <c r="H22" s="10"/>
      <c r="I22" s="10"/>
      <c r="J22" s="10"/>
      <c r="K22" s="10"/>
      <c r="L22" s="12">
        <v>0</v>
      </c>
      <c r="M22" s="12">
        <v>0</v>
      </c>
      <c r="N22" s="12">
        <v>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1">
        <v>0</v>
      </c>
    </row>
    <row r="26" spans="1:37" ht="14.25" x14ac:dyDescent="0.45">
      <c r="H26" s="16" t="s">
        <v>183</v>
      </c>
    </row>
    <row r="27" spans="1:37" x14ac:dyDescent="0.35">
      <c r="G27" s="9" t="s">
        <v>266</v>
      </c>
      <c r="H27" s="9" t="s">
        <v>207</v>
      </c>
    </row>
    <row r="28" spans="1:37" x14ac:dyDescent="0.35">
      <c r="G28" s="9" t="s">
        <v>267</v>
      </c>
      <c r="H28" s="9" t="s">
        <v>188</v>
      </c>
    </row>
    <row r="29" spans="1:37" x14ac:dyDescent="0.35">
      <c r="G29" s="9" t="s">
        <v>268</v>
      </c>
      <c r="H29" s="9" t="s">
        <v>193</v>
      </c>
    </row>
    <row r="30" spans="1:37" x14ac:dyDescent="0.35">
      <c r="B30" s="15" t="s">
        <v>263</v>
      </c>
    </row>
    <row r="31" spans="1:37" x14ac:dyDescent="0.35">
      <c r="B31" s="15" t="s">
        <v>264</v>
      </c>
    </row>
    <row r="32" spans="1:37" x14ac:dyDescent="0.35">
      <c r="B32" s="1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BRAGA</vt:lpstr>
      <vt:lpstr>OTLAV</vt:lpstr>
      <vt:lpstr>Surerland_Alnyanli</vt:lpstr>
      <vt:lpstr>MERINO</vt:lpstr>
      <vt:lpstr>types</vt:lpstr>
      <vt:lpstr>products_families</vt:lpstr>
      <vt:lpstr>Series</vt:lpstr>
      <vt:lpstr>Models</vt:lpstr>
      <vt:lpstr>sheet_material</vt:lpstr>
      <vt:lpstr>ProductStages</vt:lpstr>
      <vt:lpstr>line_material</vt:lpstr>
      <vt:lpstr>hardware</vt:lpstr>
      <vt:lpstr>Front</vt:lpstr>
      <vt:lpstr>Customizers</vt:lpstr>
      <vt:lpstr>Component Changers</vt:lpstr>
      <vt:lpstr>משפחות מוצר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Binyamin Dazan</dc:creator>
  <cp:lastModifiedBy>Gleb Omarov</cp:lastModifiedBy>
  <cp:lastPrinted>2025-11-19T12:11:19Z</cp:lastPrinted>
  <dcterms:created xsi:type="dcterms:W3CDTF">2025-05-11T09:50:44Z</dcterms:created>
  <dcterms:modified xsi:type="dcterms:W3CDTF">2026-01-29T07:22:31Z</dcterms:modified>
</cp:coreProperties>
</file>